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0" windowHeight="8190" tabRatio="500" firstSheet="0" activeTab="0" autoFilterDateGrouping="1"/>
  </bookViews>
  <sheets>
    <sheet xmlns:r="http://schemas.openxmlformats.org/officeDocument/2006/relationships" name="月轉折計算" sheetId="1" state="visible" r:id="rId1"/>
    <sheet xmlns:r="http://schemas.openxmlformats.org/officeDocument/2006/relationships" name="每日開收盤價" sheetId="2" state="visible" r:id="rId2"/>
    <sheet xmlns:r="http://schemas.openxmlformats.org/officeDocument/2006/relationships" name="工作表1" sheetId="3" state="visible" r:id="rId3"/>
  </sheets>
  <definedNames>
    <definedName name="_xlnm._FilterDatabase" localSheetId="1" hidden="1">'每日開收盤價'!$A$1:$F$1</definedName>
  </definedNames>
  <calcPr calcId="144525" fullCalcOnLoad="1" iterateDelta="0.0001"/>
</workbook>
</file>

<file path=xl/styles.xml><?xml version="1.0" encoding="utf-8"?>
<styleSheet xmlns="http://schemas.openxmlformats.org/spreadsheetml/2006/main">
  <numFmts count="4">
    <numFmt numFmtId="164" formatCode="m/d/yyyy"/>
    <numFmt numFmtId="165" formatCode="yyyy/mm/dd"/>
    <numFmt numFmtId="166" formatCode="YYYY/MM/DD"/>
    <numFmt numFmtId="167" formatCode="yyyy-mm-dd h:mm:ss"/>
  </numFmts>
  <fonts count="23">
    <font>
      <name val="新細明體"/>
      <charset val="136"/>
      <family val="2"/>
      <color theme="1"/>
      <sz val="12"/>
    </font>
    <font>
      <name val="新細明體"/>
      <charset val="136"/>
      <family val="1"/>
      <sz val="12"/>
    </font>
    <font>
      <name val="新細明體"/>
      <charset val="1"/>
      <family val="2"/>
      <color theme="1"/>
      <sz val="12"/>
    </font>
    <font>
      <name val="Calibri"/>
      <charset val="1"/>
      <family val="2"/>
      <sz val="11"/>
    </font>
    <font>
      <name val="新細明體"/>
      <charset val="1"/>
      <family val="2"/>
      <color theme="1"/>
      <sz val="11"/>
    </font>
    <font>
      <name val="新細明體"/>
      <charset val="136"/>
      <family val="1"/>
      <color theme="1"/>
      <sz val="12"/>
    </font>
    <font>
      <name val="Noto Sans CJK SC"/>
      <family val="2"/>
      <b val="1"/>
      <color theme="1"/>
      <sz val="10"/>
    </font>
    <font>
      <name val="Noto Sans CJK SC"/>
      <family val="2"/>
      <color theme="1"/>
      <sz val="10"/>
    </font>
    <font>
      <name val="新細明體"/>
      <charset val="136"/>
      <family val="1"/>
      <color theme="1"/>
      <sz val="10"/>
    </font>
    <font>
      <name val="新細明體"/>
      <charset val="136"/>
      <family val="1"/>
      <color rgb="FFFF0000"/>
      <sz val="10"/>
    </font>
    <font>
      <name val="新細明體"/>
      <charset val="136"/>
      <family val="1"/>
      <color rgb="FF008000"/>
      <sz val="10"/>
    </font>
    <font>
      <name val="Times New Roman"/>
      <charset val="1"/>
      <family val="1"/>
      <color rgb="FF000000"/>
      <sz val="10"/>
    </font>
    <font>
      <name val="Times New Roman"/>
      <charset val="1"/>
      <family val="1"/>
      <color rgb="FFFF0000"/>
      <sz val="10"/>
    </font>
    <font>
      <name val="Times New Roman"/>
      <charset val="1"/>
      <family val="1"/>
      <color rgb="FF008000"/>
      <sz val="10"/>
    </font>
    <font>
      <name val="Noto Sans CJK SC"/>
      <charset val="1"/>
      <family val="2"/>
      <b val="1"/>
      <color theme="1"/>
      <sz val="10"/>
    </font>
    <font>
      <name val="Noto Sans CJK SC"/>
      <charset val="1"/>
      <family val="2"/>
      <color theme="1"/>
      <sz val="10"/>
    </font>
    <font>
      <name val="Noto Sans CJK SC"/>
      <charset val="1"/>
      <family val="2"/>
      <color theme="1"/>
      <sz val="12"/>
    </font>
    <font>
      <name val="Segoe UI"/>
      <charset val="1"/>
      <family val="2"/>
      <color rgb="FF008000"/>
      <sz val="10"/>
    </font>
    <font>
      <name val="Segoe UI"/>
      <charset val="1"/>
      <family val="2"/>
      <color rgb="FFFF0000"/>
      <sz val="10"/>
    </font>
    <font>
      <name val="Segoe UI"/>
      <charset val="1"/>
      <family val="2"/>
      <color rgb="FFFF0000"/>
      <sz val="11"/>
    </font>
    <font>
      <name val="Segoe UI"/>
      <charset val="1"/>
      <family val="2"/>
      <color rgb="FF008000"/>
      <sz val="11"/>
    </font>
    <font>
      <name val="新細明體"/>
      <charset val="136"/>
      <family val="2"/>
      <color theme="1"/>
      <sz val="12"/>
    </font>
    <font>
      <name val="新細明體"/>
      <charset val="136"/>
      <family val="2"/>
      <sz val="9"/>
    </font>
  </fonts>
  <fills count="7">
    <fill>
      <patternFill/>
    </fill>
    <fill>
      <patternFill patternType="gray125"/>
    </fill>
    <fill>
      <patternFill patternType="solid">
        <fgColor rgb="FFFFFFFF"/>
        <bgColor rgb="FFFFF9E6"/>
      </patternFill>
    </fill>
    <fill>
      <patternFill patternType="solid">
        <fgColor rgb="FFF0F0F0"/>
        <bgColor rgb="FFF3F3F3"/>
      </patternFill>
    </fill>
    <fill>
      <patternFill patternType="solid">
        <fgColor rgb="FFFFF2CC"/>
        <bgColor rgb="FFFFF9E6"/>
      </patternFill>
    </fill>
    <fill>
      <patternFill patternType="solid">
        <fgColor rgb="FFF3F3F3"/>
        <bgColor rgb="FFF0F0F0"/>
      </patternFill>
    </fill>
    <fill>
      <patternFill patternType="solid">
        <fgColor rgb="FFFFF9E6"/>
        <bgColor rgb="FFF3F3F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21" fillId="0" borderId="0" applyAlignment="1">
      <alignment vertical="center"/>
    </xf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9" fontId="4" fillId="0" borderId="0" applyAlignment="1">
      <alignment vertical="center"/>
    </xf>
    <xf numFmtId="9" fontId="2" fillId="0" borderId="0" applyAlignment="1">
      <alignment vertical="center"/>
    </xf>
    <xf numFmtId="9" fontId="5" fillId="0" borderId="0" applyAlignment="1">
      <alignment vertical="center"/>
    </xf>
  </cellStyleXfs>
  <cellXfs count="63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6">
      <alignment horizontal="center" vertical="center"/>
    </xf>
    <xf numFmtId="0" fontId="5" fillId="0" borderId="0" applyAlignment="1" pivotButton="0" quotePrefix="0" xfId="6">
      <alignment vertical="center"/>
    </xf>
    <xf numFmtId="0" fontId="6" fillId="0" borderId="1" applyAlignment="1" pivotButton="0" quotePrefix="0" xfId="6">
      <alignment horizontal="center" vertical="center" wrapText="1"/>
    </xf>
    <xf numFmtId="0" fontId="7" fillId="0" borderId="1" applyAlignment="1" pivotButton="0" quotePrefix="0" xfId="6">
      <alignment horizontal="center" vertical="center"/>
    </xf>
    <xf numFmtId="0" fontId="8" fillId="0" borderId="0" applyAlignment="1" pivotButton="0" quotePrefix="0" xfId="6">
      <alignment vertical="center"/>
    </xf>
    <xf numFmtId="0" fontId="8" fillId="2" borderId="1" applyAlignment="1" pivotButton="0" quotePrefix="0" xfId="6">
      <alignment horizontal="center" vertical="center" wrapText="1"/>
    </xf>
    <xf numFmtId="0" fontId="9" fillId="2" borderId="1" applyAlignment="1" pivotButton="0" quotePrefix="0" xfId="6">
      <alignment horizontal="center" vertical="center" wrapText="1"/>
    </xf>
    <xf numFmtId="0" fontId="10" fillId="2" borderId="1" applyAlignment="1" pivotButton="0" quotePrefix="0" xfId="6">
      <alignment horizontal="center" vertical="center" wrapText="1"/>
    </xf>
    <xf numFmtId="0" fontId="8" fillId="3" borderId="1" applyAlignment="1" pivotButton="0" quotePrefix="0" xfId="6">
      <alignment horizontal="center" vertical="center"/>
    </xf>
    <xf numFmtId="0" fontId="8" fillId="2" borderId="1" applyAlignment="1" pivotButton="0" quotePrefix="0" xfId="6">
      <alignment horizontal="center" vertical="center"/>
    </xf>
    <xf numFmtId="0" fontId="8" fillId="2" borderId="0" applyAlignment="1" pivotButton="0" quotePrefix="0" xfId="6">
      <alignment horizontal="center" vertical="center"/>
    </xf>
    <xf numFmtId="0" fontId="8" fillId="3" borderId="1" applyAlignment="1" pivotButton="0" quotePrefix="0" xfId="6">
      <alignment horizontal="center" vertical="center" wrapText="1"/>
    </xf>
    <xf numFmtId="0" fontId="10" fillId="3" borderId="1" applyAlignment="1" pivotButton="0" quotePrefix="0" xfId="6">
      <alignment horizontal="center" vertical="center" wrapText="1"/>
    </xf>
    <xf numFmtId="0" fontId="9" fillId="3" borderId="1" applyAlignment="1" pivotButton="0" quotePrefix="0" xfId="6">
      <alignment horizontal="center" vertical="center" wrapText="1"/>
    </xf>
    <xf numFmtId="0" fontId="8" fillId="3" borderId="0" applyAlignment="1" pivotButton="0" quotePrefix="0" xfId="6">
      <alignment horizontal="center" vertical="center"/>
    </xf>
    <xf numFmtId="0" fontId="11" fillId="2" borderId="1" applyAlignment="1" pivotButton="0" quotePrefix="0" xfId="7">
      <alignment horizontal="center" vertical="center" wrapText="1"/>
    </xf>
    <xf numFmtId="0" fontId="12" fillId="3" borderId="1" applyAlignment="1" pivotButton="0" quotePrefix="0" xfId="7">
      <alignment horizontal="center" vertical="center" wrapText="1"/>
    </xf>
    <xf numFmtId="0" fontId="13" fillId="3" borderId="1" applyAlignment="1" pivotButton="0" quotePrefix="0" xfId="7">
      <alignment horizontal="center" vertical="center" wrapText="1"/>
    </xf>
    <xf numFmtId="0" fontId="12" fillId="2" borderId="1" applyAlignment="1" pivotButton="0" quotePrefix="0" xfId="7">
      <alignment horizontal="center" vertical="center" wrapText="1"/>
    </xf>
    <xf numFmtId="0" fontId="13" fillId="2" borderId="1" applyAlignment="1" pivotButton="0" quotePrefix="0" xfId="7">
      <alignment horizontal="center" vertical="center" wrapText="1"/>
    </xf>
    <xf numFmtId="0" fontId="5" fillId="0" borderId="1" applyAlignment="1" pivotButton="0" quotePrefix="0" xfId="6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/>
    </xf>
    <xf numFmtId="9" fontId="8" fillId="0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165" fontId="8" fillId="2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0" fillId="0" borderId="1" applyAlignment="1" pivotButton="0" quotePrefix="0" xfId="0">
      <alignment vertical="center"/>
    </xf>
    <xf numFmtId="0" fontId="16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0" fillId="0" borderId="0" pivotButton="0" quotePrefix="0" xfId="0"/>
    <xf numFmtId="164" fontId="8" fillId="2" borderId="1" applyAlignment="1" pivotButton="0" quotePrefix="0" xfId="0">
      <alignment horizontal="center" vertical="center" wrapText="1"/>
    </xf>
    <xf numFmtId="164" fontId="8" fillId="3" borderId="1" applyAlignment="1" pivotButton="0" quotePrefix="0" xfId="0">
      <alignment horizontal="center" vertical="center" wrapText="1"/>
    </xf>
    <xf numFmtId="165" fontId="8" fillId="2" borderId="1" applyAlignment="1" pivotButton="0" quotePrefix="0" xfId="0">
      <alignment horizontal="center" vertical="center" wrapText="1"/>
    </xf>
    <xf numFmtId="165" fontId="0" fillId="0" borderId="1" pivotButton="0" quotePrefix="0" xfId="0"/>
    <xf numFmtId="166" fontId="0" fillId="0" borderId="0" pivotButton="0" quotePrefix="0" xfId="0"/>
    <xf numFmtId="166" fontId="0" fillId="0" borderId="0" pivotButton="0" quotePrefix="0" xfId="0"/>
  </cellXfs>
  <cellStyles count="12">
    <cellStyle name="一般" xfId="0" builtinId="0"/>
    <cellStyle name="一般 2" xfId="1"/>
    <cellStyle name="一般 2 2" xfId="2"/>
    <cellStyle name="一般 3" xfId="3"/>
    <cellStyle name="一般 4" xfId="4"/>
    <cellStyle name="一般 5" xfId="5"/>
    <cellStyle name="一般 5 2" xfId="6"/>
    <cellStyle name="一般 6" xfId="7"/>
    <cellStyle name="一般 7" xfId="8"/>
    <cellStyle name="百分比 2" xfId="9"/>
    <cellStyle name="百分比 2 2" xfId="10"/>
    <cellStyle name="百分比 3" xfId="1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6"/>
      <rgbColor rgb="FFF0F0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CCFFCC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佈景主題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tabSelected="1" zoomScaleNormal="100" workbookViewId="0">
      <pane xSplit="2" ySplit="1" topLeftCell="C32" activePane="bottomRight" state="frozen"/>
      <selection pane="topRight" activeCell="C1" sqref="C1"/>
      <selection pane="bottomLeft" activeCell="A32" sqref="A32"/>
      <selection pane="bottomRight" activeCell="C42" sqref="C42"/>
    </sheetView>
  </sheetViews>
  <sheetFormatPr baseColWidth="8" defaultColWidth="6.5" defaultRowHeight="16.5"/>
  <cols>
    <col width="5.875" customWidth="1" style="1" min="1" max="1"/>
    <col width="5" customWidth="1" style="1" min="2" max="2"/>
    <col width="7.125" customWidth="1" style="1" min="3" max="6"/>
    <col width="11.75" customWidth="1" style="1" min="7" max="7"/>
    <col width="11.375" customWidth="1" style="1" min="8" max="8"/>
    <col width="8.25" customWidth="1" style="1" min="9" max="9"/>
    <col width="11.375" customWidth="1" style="1" min="10" max="10"/>
    <col width="6.5" customWidth="1" style="2" min="11" max="256"/>
    <col width="5.875" customWidth="1" style="2" min="257" max="257"/>
    <col width="5" customWidth="1" style="2" min="258" max="258"/>
    <col width="7.125" customWidth="1" style="2" min="259" max="262"/>
    <col width="11.75" customWidth="1" style="2" min="263" max="263"/>
    <col width="11.375" customWidth="1" style="2" min="264" max="264"/>
    <col width="8.25" customWidth="1" style="2" min="265" max="265"/>
    <col width="11.375" customWidth="1" style="2" min="266" max="266"/>
    <col width="6.5" customWidth="1" style="2" min="267" max="512"/>
    <col width="5.875" customWidth="1" style="2" min="513" max="513"/>
    <col width="5" customWidth="1" style="2" min="514" max="514"/>
    <col width="7.125" customWidth="1" style="2" min="515" max="518"/>
    <col width="11.75" customWidth="1" style="2" min="519" max="519"/>
    <col width="11.375" customWidth="1" style="2" min="520" max="520"/>
    <col width="8.25" customWidth="1" style="2" min="521" max="521"/>
    <col width="11.375" customWidth="1" style="2" min="522" max="522"/>
    <col width="6.5" customWidth="1" style="2" min="523" max="768"/>
    <col width="5.875" customWidth="1" style="2" min="769" max="769"/>
    <col width="5" customWidth="1" style="2" min="770" max="770"/>
    <col width="7.125" customWidth="1" style="2" min="771" max="774"/>
    <col width="11.75" customWidth="1" style="2" min="775" max="775"/>
    <col width="11.375" customWidth="1" style="2" min="776" max="776"/>
    <col width="8.25" customWidth="1" style="2" min="777" max="777"/>
    <col width="11.375" customWidth="1" style="2" min="778" max="778"/>
    <col width="6.5" customWidth="1" style="2" min="779" max="1024"/>
    <col width="5.875" customWidth="1" style="2" min="1025" max="1025"/>
    <col width="5" customWidth="1" style="2" min="1026" max="1026"/>
    <col width="7.125" customWidth="1" style="2" min="1027" max="1030"/>
    <col width="11.75" customWidth="1" style="2" min="1031" max="1031"/>
    <col width="11.375" customWidth="1" style="2" min="1032" max="1032"/>
    <col width="8.25" customWidth="1" style="2" min="1033" max="1033"/>
    <col width="11.375" customWidth="1" style="2" min="1034" max="1034"/>
    <col width="6.5" customWidth="1" style="2" min="1035" max="1280"/>
    <col width="5.875" customWidth="1" style="2" min="1281" max="1281"/>
    <col width="5" customWidth="1" style="2" min="1282" max="1282"/>
    <col width="7.125" customWidth="1" style="2" min="1283" max="1286"/>
    <col width="11.75" customWidth="1" style="2" min="1287" max="1287"/>
    <col width="11.375" customWidth="1" style="2" min="1288" max="1288"/>
    <col width="8.25" customWidth="1" style="2" min="1289" max="1289"/>
    <col width="11.375" customWidth="1" style="2" min="1290" max="1290"/>
    <col width="6.5" customWidth="1" style="2" min="1291" max="1536"/>
    <col width="5.875" customWidth="1" style="2" min="1537" max="1537"/>
    <col width="5" customWidth="1" style="2" min="1538" max="1538"/>
    <col width="7.125" customWidth="1" style="2" min="1539" max="1542"/>
    <col width="11.75" customWidth="1" style="2" min="1543" max="1543"/>
    <col width="11.375" customWidth="1" style="2" min="1544" max="1544"/>
    <col width="8.25" customWidth="1" style="2" min="1545" max="1545"/>
    <col width="11.375" customWidth="1" style="2" min="1546" max="1546"/>
    <col width="6.5" customWidth="1" style="2" min="1547" max="1792"/>
    <col width="5.875" customWidth="1" style="2" min="1793" max="1793"/>
    <col width="5" customWidth="1" style="2" min="1794" max="1794"/>
    <col width="7.125" customWidth="1" style="2" min="1795" max="1798"/>
    <col width="11.75" customWidth="1" style="2" min="1799" max="1799"/>
    <col width="11.375" customWidth="1" style="2" min="1800" max="1800"/>
    <col width="8.25" customWidth="1" style="2" min="1801" max="1801"/>
    <col width="11.375" customWidth="1" style="2" min="1802" max="1802"/>
    <col width="6.5" customWidth="1" style="2" min="1803" max="2048"/>
    <col width="5.875" customWidth="1" style="2" min="2049" max="2049"/>
    <col width="5" customWidth="1" style="2" min="2050" max="2050"/>
    <col width="7.125" customWidth="1" style="2" min="2051" max="2054"/>
    <col width="11.75" customWidth="1" style="2" min="2055" max="2055"/>
    <col width="11.375" customWidth="1" style="2" min="2056" max="2056"/>
    <col width="8.25" customWidth="1" style="2" min="2057" max="2057"/>
    <col width="11.375" customWidth="1" style="2" min="2058" max="2058"/>
    <col width="6.5" customWidth="1" style="2" min="2059" max="2304"/>
    <col width="5.875" customWidth="1" style="2" min="2305" max="2305"/>
    <col width="5" customWidth="1" style="2" min="2306" max="2306"/>
    <col width="7.125" customWidth="1" style="2" min="2307" max="2310"/>
    <col width="11.75" customWidth="1" style="2" min="2311" max="2311"/>
    <col width="11.375" customWidth="1" style="2" min="2312" max="2312"/>
    <col width="8.25" customWidth="1" style="2" min="2313" max="2313"/>
    <col width="11.375" customWidth="1" style="2" min="2314" max="2314"/>
    <col width="6.5" customWidth="1" style="2" min="2315" max="2560"/>
    <col width="5.875" customWidth="1" style="2" min="2561" max="2561"/>
    <col width="5" customWidth="1" style="2" min="2562" max="2562"/>
    <col width="7.125" customWidth="1" style="2" min="2563" max="2566"/>
    <col width="11.75" customWidth="1" style="2" min="2567" max="2567"/>
    <col width="11.375" customWidth="1" style="2" min="2568" max="2568"/>
    <col width="8.25" customWidth="1" style="2" min="2569" max="2569"/>
    <col width="11.375" customWidth="1" style="2" min="2570" max="2570"/>
    <col width="6.5" customWidth="1" style="2" min="2571" max="2816"/>
    <col width="5.875" customWidth="1" style="2" min="2817" max="2817"/>
    <col width="5" customWidth="1" style="2" min="2818" max="2818"/>
    <col width="7.125" customWidth="1" style="2" min="2819" max="2822"/>
    <col width="11.75" customWidth="1" style="2" min="2823" max="2823"/>
    <col width="11.375" customWidth="1" style="2" min="2824" max="2824"/>
    <col width="8.25" customWidth="1" style="2" min="2825" max="2825"/>
    <col width="11.375" customWidth="1" style="2" min="2826" max="2826"/>
    <col width="6.5" customWidth="1" style="2" min="2827" max="3072"/>
    <col width="5.875" customWidth="1" style="2" min="3073" max="3073"/>
    <col width="5" customWidth="1" style="2" min="3074" max="3074"/>
    <col width="7.125" customWidth="1" style="2" min="3075" max="3078"/>
    <col width="11.75" customWidth="1" style="2" min="3079" max="3079"/>
    <col width="11.375" customWidth="1" style="2" min="3080" max="3080"/>
    <col width="8.25" customWidth="1" style="2" min="3081" max="3081"/>
    <col width="11.375" customWidth="1" style="2" min="3082" max="3082"/>
    <col width="6.5" customWidth="1" style="2" min="3083" max="3328"/>
    <col width="5.875" customWidth="1" style="2" min="3329" max="3329"/>
    <col width="5" customWidth="1" style="2" min="3330" max="3330"/>
    <col width="7.125" customWidth="1" style="2" min="3331" max="3334"/>
    <col width="11.75" customWidth="1" style="2" min="3335" max="3335"/>
    <col width="11.375" customWidth="1" style="2" min="3336" max="3336"/>
    <col width="8.25" customWidth="1" style="2" min="3337" max="3337"/>
    <col width="11.375" customWidth="1" style="2" min="3338" max="3338"/>
    <col width="6.5" customWidth="1" style="2" min="3339" max="3584"/>
    <col width="5.875" customWidth="1" style="2" min="3585" max="3585"/>
    <col width="5" customWidth="1" style="2" min="3586" max="3586"/>
    <col width="7.125" customWidth="1" style="2" min="3587" max="3590"/>
    <col width="11.75" customWidth="1" style="2" min="3591" max="3591"/>
    <col width="11.375" customWidth="1" style="2" min="3592" max="3592"/>
    <col width="8.25" customWidth="1" style="2" min="3593" max="3593"/>
    <col width="11.375" customWidth="1" style="2" min="3594" max="3594"/>
    <col width="6.5" customWidth="1" style="2" min="3595" max="3840"/>
    <col width="5.875" customWidth="1" style="2" min="3841" max="3841"/>
    <col width="5" customWidth="1" style="2" min="3842" max="3842"/>
    <col width="7.125" customWidth="1" style="2" min="3843" max="3846"/>
    <col width="11.75" customWidth="1" style="2" min="3847" max="3847"/>
    <col width="11.375" customWidth="1" style="2" min="3848" max="3848"/>
    <col width="8.25" customWidth="1" style="2" min="3849" max="3849"/>
    <col width="11.375" customWidth="1" style="2" min="3850" max="3850"/>
    <col width="6.5" customWidth="1" style="2" min="3851" max="4096"/>
    <col width="5.875" customWidth="1" style="2" min="4097" max="4097"/>
    <col width="5" customWidth="1" style="2" min="4098" max="4098"/>
    <col width="7.125" customWidth="1" style="2" min="4099" max="4102"/>
    <col width="11.75" customWidth="1" style="2" min="4103" max="4103"/>
    <col width="11.375" customWidth="1" style="2" min="4104" max="4104"/>
    <col width="8.25" customWidth="1" style="2" min="4105" max="4105"/>
    <col width="11.375" customWidth="1" style="2" min="4106" max="4106"/>
    <col width="6.5" customWidth="1" style="2" min="4107" max="4352"/>
    <col width="5.875" customWidth="1" style="2" min="4353" max="4353"/>
    <col width="5" customWidth="1" style="2" min="4354" max="4354"/>
    <col width="7.125" customWidth="1" style="2" min="4355" max="4358"/>
    <col width="11.75" customWidth="1" style="2" min="4359" max="4359"/>
    <col width="11.375" customWidth="1" style="2" min="4360" max="4360"/>
    <col width="8.25" customWidth="1" style="2" min="4361" max="4361"/>
    <col width="11.375" customWidth="1" style="2" min="4362" max="4362"/>
    <col width="6.5" customWidth="1" style="2" min="4363" max="4608"/>
    <col width="5.875" customWidth="1" style="2" min="4609" max="4609"/>
    <col width="5" customWidth="1" style="2" min="4610" max="4610"/>
    <col width="7.125" customWidth="1" style="2" min="4611" max="4614"/>
    <col width="11.75" customWidth="1" style="2" min="4615" max="4615"/>
    <col width="11.375" customWidth="1" style="2" min="4616" max="4616"/>
    <col width="8.25" customWidth="1" style="2" min="4617" max="4617"/>
    <col width="11.375" customWidth="1" style="2" min="4618" max="4618"/>
    <col width="6.5" customWidth="1" style="2" min="4619" max="4864"/>
    <col width="5.875" customWidth="1" style="2" min="4865" max="4865"/>
    <col width="5" customWidth="1" style="2" min="4866" max="4866"/>
    <col width="7.125" customWidth="1" style="2" min="4867" max="4870"/>
    <col width="11.75" customWidth="1" style="2" min="4871" max="4871"/>
    <col width="11.375" customWidth="1" style="2" min="4872" max="4872"/>
    <col width="8.25" customWidth="1" style="2" min="4873" max="4873"/>
    <col width="11.375" customWidth="1" style="2" min="4874" max="4874"/>
    <col width="6.5" customWidth="1" style="2" min="4875" max="5120"/>
    <col width="5.875" customWidth="1" style="2" min="5121" max="5121"/>
    <col width="5" customWidth="1" style="2" min="5122" max="5122"/>
    <col width="7.125" customWidth="1" style="2" min="5123" max="5126"/>
    <col width="11.75" customWidth="1" style="2" min="5127" max="5127"/>
    <col width="11.375" customWidth="1" style="2" min="5128" max="5128"/>
    <col width="8.25" customWidth="1" style="2" min="5129" max="5129"/>
    <col width="11.375" customWidth="1" style="2" min="5130" max="5130"/>
    <col width="6.5" customWidth="1" style="2" min="5131" max="5376"/>
    <col width="5.875" customWidth="1" style="2" min="5377" max="5377"/>
    <col width="5" customWidth="1" style="2" min="5378" max="5378"/>
    <col width="7.125" customWidth="1" style="2" min="5379" max="5382"/>
    <col width="11.75" customWidth="1" style="2" min="5383" max="5383"/>
    <col width="11.375" customWidth="1" style="2" min="5384" max="5384"/>
    <col width="8.25" customWidth="1" style="2" min="5385" max="5385"/>
    <col width="11.375" customWidth="1" style="2" min="5386" max="5386"/>
    <col width="6.5" customWidth="1" style="2" min="5387" max="5632"/>
    <col width="5.875" customWidth="1" style="2" min="5633" max="5633"/>
    <col width="5" customWidth="1" style="2" min="5634" max="5634"/>
    <col width="7.125" customWidth="1" style="2" min="5635" max="5638"/>
    <col width="11.75" customWidth="1" style="2" min="5639" max="5639"/>
    <col width="11.375" customWidth="1" style="2" min="5640" max="5640"/>
    <col width="8.25" customWidth="1" style="2" min="5641" max="5641"/>
    <col width="11.375" customWidth="1" style="2" min="5642" max="5642"/>
    <col width="6.5" customWidth="1" style="2" min="5643" max="5888"/>
    <col width="5.875" customWidth="1" style="2" min="5889" max="5889"/>
    <col width="5" customWidth="1" style="2" min="5890" max="5890"/>
    <col width="7.125" customWidth="1" style="2" min="5891" max="5894"/>
    <col width="11.75" customWidth="1" style="2" min="5895" max="5895"/>
    <col width="11.375" customWidth="1" style="2" min="5896" max="5896"/>
    <col width="8.25" customWidth="1" style="2" min="5897" max="5897"/>
    <col width="11.375" customWidth="1" style="2" min="5898" max="5898"/>
    <col width="6.5" customWidth="1" style="2" min="5899" max="6144"/>
    <col width="5.875" customWidth="1" style="2" min="6145" max="6145"/>
    <col width="5" customWidth="1" style="2" min="6146" max="6146"/>
    <col width="7.125" customWidth="1" style="2" min="6147" max="6150"/>
    <col width="11.75" customWidth="1" style="2" min="6151" max="6151"/>
    <col width="11.375" customWidth="1" style="2" min="6152" max="6152"/>
    <col width="8.25" customWidth="1" style="2" min="6153" max="6153"/>
    <col width="11.375" customWidth="1" style="2" min="6154" max="6154"/>
    <col width="6.5" customWidth="1" style="2" min="6155" max="6400"/>
    <col width="5.875" customWidth="1" style="2" min="6401" max="6401"/>
    <col width="5" customWidth="1" style="2" min="6402" max="6402"/>
    <col width="7.125" customWidth="1" style="2" min="6403" max="6406"/>
    <col width="11.75" customWidth="1" style="2" min="6407" max="6407"/>
    <col width="11.375" customWidth="1" style="2" min="6408" max="6408"/>
    <col width="8.25" customWidth="1" style="2" min="6409" max="6409"/>
    <col width="11.375" customWidth="1" style="2" min="6410" max="6410"/>
    <col width="6.5" customWidth="1" style="2" min="6411" max="6656"/>
    <col width="5.875" customWidth="1" style="2" min="6657" max="6657"/>
    <col width="5" customWidth="1" style="2" min="6658" max="6658"/>
    <col width="7.125" customWidth="1" style="2" min="6659" max="6662"/>
    <col width="11.75" customWidth="1" style="2" min="6663" max="6663"/>
    <col width="11.375" customWidth="1" style="2" min="6664" max="6664"/>
    <col width="8.25" customWidth="1" style="2" min="6665" max="6665"/>
    <col width="11.375" customWidth="1" style="2" min="6666" max="6666"/>
    <col width="6.5" customWidth="1" style="2" min="6667" max="6912"/>
    <col width="5.875" customWidth="1" style="2" min="6913" max="6913"/>
    <col width="5" customWidth="1" style="2" min="6914" max="6914"/>
    <col width="7.125" customWidth="1" style="2" min="6915" max="6918"/>
    <col width="11.75" customWidth="1" style="2" min="6919" max="6919"/>
    <col width="11.375" customWidth="1" style="2" min="6920" max="6920"/>
    <col width="8.25" customWidth="1" style="2" min="6921" max="6921"/>
    <col width="11.375" customWidth="1" style="2" min="6922" max="6922"/>
    <col width="6.5" customWidth="1" style="2" min="6923" max="7168"/>
    <col width="5.875" customWidth="1" style="2" min="7169" max="7169"/>
    <col width="5" customWidth="1" style="2" min="7170" max="7170"/>
    <col width="7.125" customWidth="1" style="2" min="7171" max="7174"/>
    <col width="11.75" customWidth="1" style="2" min="7175" max="7175"/>
    <col width="11.375" customWidth="1" style="2" min="7176" max="7176"/>
    <col width="8.25" customWidth="1" style="2" min="7177" max="7177"/>
    <col width="11.375" customWidth="1" style="2" min="7178" max="7178"/>
    <col width="6.5" customWidth="1" style="2" min="7179" max="7424"/>
    <col width="5.875" customWidth="1" style="2" min="7425" max="7425"/>
    <col width="5" customWidth="1" style="2" min="7426" max="7426"/>
    <col width="7.125" customWidth="1" style="2" min="7427" max="7430"/>
    <col width="11.75" customWidth="1" style="2" min="7431" max="7431"/>
    <col width="11.375" customWidth="1" style="2" min="7432" max="7432"/>
    <col width="8.25" customWidth="1" style="2" min="7433" max="7433"/>
    <col width="11.375" customWidth="1" style="2" min="7434" max="7434"/>
    <col width="6.5" customWidth="1" style="2" min="7435" max="7680"/>
    <col width="5.875" customWidth="1" style="2" min="7681" max="7681"/>
    <col width="5" customWidth="1" style="2" min="7682" max="7682"/>
    <col width="7.125" customWidth="1" style="2" min="7683" max="7686"/>
    <col width="11.75" customWidth="1" style="2" min="7687" max="7687"/>
    <col width="11.375" customWidth="1" style="2" min="7688" max="7688"/>
    <col width="8.25" customWidth="1" style="2" min="7689" max="7689"/>
    <col width="11.375" customWidth="1" style="2" min="7690" max="7690"/>
    <col width="6.5" customWidth="1" style="2" min="7691" max="7936"/>
    <col width="5.875" customWidth="1" style="2" min="7937" max="7937"/>
    <col width="5" customWidth="1" style="2" min="7938" max="7938"/>
    <col width="7.125" customWidth="1" style="2" min="7939" max="7942"/>
    <col width="11.75" customWidth="1" style="2" min="7943" max="7943"/>
    <col width="11.375" customWidth="1" style="2" min="7944" max="7944"/>
    <col width="8.25" customWidth="1" style="2" min="7945" max="7945"/>
    <col width="11.375" customWidth="1" style="2" min="7946" max="7946"/>
    <col width="6.5" customWidth="1" style="2" min="7947" max="8192"/>
    <col width="5.875" customWidth="1" style="2" min="8193" max="8193"/>
    <col width="5" customWidth="1" style="2" min="8194" max="8194"/>
    <col width="7.125" customWidth="1" style="2" min="8195" max="8198"/>
    <col width="11.75" customWidth="1" style="2" min="8199" max="8199"/>
    <col width="11.375" customWidth="1" style="2" min="8200" max="8200"/>
    <col width="8.25" customWidth="1" style="2" min="8201" max="8201"/>
    <col width="11.375" customWidth="1" style="2" min="8202" max="8202"/>
    <col width="6.5" customWidth="1" style="2" min="8203" max="8448"/>
    <col width="5.875" customWidth="1" style="2" min="8449" max="8449"/>
    <col width="5" customWidth="1" style="2" min="8450" max="8450"/>
    <col width="7.125" customWidth="1" style="2" min="8451" max="8454"/>
    <col width="11.75" customWidth="1" style="2" min="8455" max="8455"/>
    <col width="11.375" customWidth="1" style="2" min="8456" max="8456"/>
    <col width="8.25" customWidth="1" style="2" min="8457" max="8457"/>
    <col width="11.375" customWidth="1" style="2" min="8458" max="8458"/>
    <col width="6.5" customWidth="1" style="2" min="8459" max="8704"/>
    <col width="5.875" customWidth="1" style="2" min="8705" max="8705"/>
    <col width="5" customWidth="1" style="2" min="8706" max="8706"/>
    <col width="7.125" customWidth="1" style="2" min="8707" max="8710"/>
    <col width="11.75" customWidth="1" style="2" min="8711" max="8711"/>
    <col width="11.375" customWidth="1" style="2" min="8712" max="8712"/>
    <col width="8.25" customWidth="1" style="2" min="8713" max="8713"/>
    <col width="11.375" customWidth="1" style="2" min="8714" max="8714"/>
    <col width="6.5" customWidth="1" style="2" min="8715" max="8960"/>
    <col width="5.875" customWidth="1" style="2" min="8961" max="8961"/>
    <col width="5" customWidth="1" style="2" min="8962" max="8962"/>
    <col width="7.125" customWidth="1" style="2" min="8963" max="8966"/>
    <col width="11.75" customWidth="1" style="2" min="8967" max="8967"/>
    <col width="11.375" customWidth="1" style="2" min="8968" max="8968"/>
    <col width="8.25" customWidth="1" style="2" min="8969" max="8969"/>
    <col width="11.375" customWidth="1" style="2" min="8970" max="8970"/>
    <col width="6.5" customWidth="1" style="2" min="8971" max="9216"/>
    <col width="5.875" customWidth="1" style="2" min="9217" max="9217"/>
    <col width="5" customWidth="1" style="2" min="9218" max="9218"/>
    <col width="7.125" customWidth="1" style="2" min="9219" max="9222"/>
    <col width="11.75" customWidth="1" style="2" min="9223" max="9223"/>
    <col width="11.375" customWidth="1" style="2" min="9224" max="9224"/>
    <col width="8.25" customWidth="1" style="2" min="9225" max="9225"/>
    <col width="11.375" customWidth="1" style="2" min="9226" max="9226"/>
    <col width="6.5" customWidth="1" style="2" min="9227" max="9472"/>
    <col width="5.875" customWidth="1" style="2" min="9473" max="9473"/>
    <col width="5" customWidth="1" style="2" min="9474" max="9474"/>
    <col width="7.125" customWidth="1" style="2" min="9475" max="9478"/>
    <col width="11.75" customWidth="1" style="2" min="9479" max="9479"/>
    <col width="11.375" customWidth="1" style="2" min="9480" max="9480"/>
    <col width="8.25" customWidth="1" style="2" min="9481" max="9481"/>
    <col width="11.375" customWidth="1" style="2" min="9482" max="9482"/>
    <col width="6.5" customWidth="1" style="2" min="9483" max="9728"/>
    <col width="5.875" customWidth="1" style="2" min="9729" max="9729"/>
    <col width="5" customWidth="1" style="2" min="9730" max="9730"/>
    <col width="7.125" customWidth="1" style="2" min="9731" max="9734"/>
    <col width="11.75" customWidth="1" style="2" min="9735" max="9735"/>
    <col width="11.375" customWidth="1" style="2" min="9736" max="9736"/>
    <col width="8.25" customWidth="1" style="2" min="9737" max="9737"/>
    <col width="11.375" customWidth="1" style="2" min="9738" max="9738"/>
    <col width="6.5" customWidth="1" style="2" min="9739" max="9984"/>
    <col width="5.875" customWidth="1" style="2" min="9985" max="9985"/>
    <col width="5" customWidth="1" style="2" min="9986" max="9986"/>
    <col width="7.125" customWidth="1" style="2" min="9987" max="9990"/>
    <col width="11.75" customWidth="1" style="2" min="9991" max="9991"/>
    <col width="11.375" customWidth="1" style="2" min="9992" max="9992"/>
    <col width="8.25" customWidth="1" style="2" min="9993" max="9993"/>
    <col width="11.375" customWidth="1" style="2" min="9994" max="9994"/>
    <col width="6.5" customWidth="1" style="2" min="9995" max="10240"/>
    <col width="5.875" customWidth="1" style="2" min="10241" max="10241"/>
    <col width="5" customWidth="1" style="2" min="10242" max="10242"/>
    <col width="7.125" customWidth="1" style="2" min="10243" max="10246"/>
    <col width="11.75" customWidth="1" style="2" min="10247" max="10247"/>
    <col width="11.375" customWidth="1" style="2" min="10248" max="10248"/>
    <col width="8.25" customWidth="1" style="2" min="10249" max="10249"/>
    <col width="11.375" customWidth="1" style="2" min="10250" max="10250"/>
    <col width="6.5" customWidth="1" style="2" min="10251" max="10496"/>
    <col width="5.875" customWidth="1" style="2" min="10497" max="10497"/>
    <col width="5" customWidth="1" style="2" min="10498" max="10498"/>
    <col width="7.125" customWidth="1" style="2" min="10499" max="10502"/>
    <col width="11.75" customWidth="1" style="2" min="10503" max="10503"/>
    <col width="11.375" customWidth="1" style="2" min="10504" max="10504"/>
    <col width="8.25" customWidth="1" style="2" min="10505" max="10505"/>
    <col width="11.375" customWidth="1" style="2" min="10506" max="10506"/>
    <col width="6.5" customWidth="1" style="2" min="10507" max="10752"/>
    <col width="5.875" customWidth="1" style="2" min="10753" max="10753"/>
    <col width="5" customWidth="1" style="2" min="10754" max="10754"/>
    <col width="7.125" customWidth="1" style="2" min="10755" max="10758"/>
    <col width="11.75" customWidth="1" style="2" min="10759" max="10759"/>
    <col width="11.375" customWidth="1" style="2" min="10760" max="10760"/>
    <col width="8.25" customWidth="1" style="2" min="10761" max="10761"/>
    <col width="11.375" customWidth="1" style="2" min="10762" max="10762"/>
    <col width="6.5" customWidth="1" style="2" min="10763" max="11008"/>
    <col width="5.875" customWidth="1" style="2" min="11009" max="11009"/>
    <col width="5" customWidth="1" style="2" min="11010" max="11010"/>
    <col width="7.125" customWidth="1" style="2" min="11011" max="11014"/>
    <col width="11.75" customWidth="1" style="2" min="11015" max="11015"/>
    <col width="11.375" customWidth="1" style="2" min="11016" max="11016"/>
    <col width="8.25" customWidth="1" style="2" min="11017" max="11017"/>
    <col width="11.375" customWidth="1" style="2" min="11018" max="11018"/>
    <col width="6.5" customWidth="1" style="2" min="11019" max="11264"/>
    <col width="5.875" customWidth="1" style="2" min="11265" max="11265"/>
    <col width="5" customWidth="1" style="2" min="11266" max="11266"/>
    <col width="7.125" customWidth="1" style="2" min="11267" max="11270"/>
    <col width="11.75" customWidth="1" style="2" min="11271" max="11271"/>
    <col width="11.375" customWidth="1" style="2" min="11272" max="11272"/>
    <col width="8.25" customWidth="1" style="2" min="11273" max="11273"/>
    <col width="11.375" customWidth="1" style="2" min="11274" max="11274"/>
    <col width="6.5" customWidth="1" style="2" min="11275" max="11520"/>
    <col width="5.875" customWidth="1" style="2" min="11521" max="11521"/>
    <col width="5" customWidth="1" style="2" min="11522" max="11522"/>
    <col width="7.125" customWidth="1" style="2" min="11523" max="11526"/>
    <col width="11.75" customWidth="1" style="2" min="11527" max="11527"/>
    <col width="11.375" customWidth="1" style="2" min="11528" max="11528"/>
    <col width="8.25" customWidth="1" style="2" min="11529" max="11529"/>
    <col width="11.375" customWidth="1" style="2" min="11530" max="11530"/>
    <col width="6.5" customWidth="1" style="2" min="11531" max="11776"/>
    <col width="5.875" customWidth="1" style="2" min="11777" max="11777"/>
    <col width="5" customWidth="1" style="2" min="11778" max="11778"/>
    <col width="7.125" customWidth="1" style="2" min="11779" max="11782"/>
    <col width="11.75" customWidth="1" style="2" min="11783" max="11783"/>
    <col width="11.375" customWidth="1" style="2" min="11784" max="11784"/>
    <col width="8.25" customWidth="1" style="2" min="11785" max="11785"/>
    <col width="11.375" customWidth="1" style="2" min="11786" max="11786"/>
    <col width="6.5" customWidth="1" style="2" min="11787" max="12032"/>
    <col width="5.875" customWidth="1" style="2" min="12033" max="12033"/>
    <col width="5" customWidth="1" style="2" min="12034" max="12034"/>
    <col width="7.125" customWidth="1" style="2" min="12035" max="12038"/>
    <col width="11.75" customWidth="1" style="2" min="12039" max="12039"/>
    <col width="11.375" customWidth="1" style="2" min="12040" max="12040"/>
    <col width="8.25" customWidth="1" style="2" min="12041" max="12041"/>
    <col width="11.375" customWidth="1" style="2" min="12042" max="12042"/>
    <col width="6.5" customWidth="1" style="2" min="12043" max="12288"/>
    <col width="5.875" customWidth="1" style="2" min="12289" max="12289"/>
    <col width="5" customWidth="1" style="2" min="12290" max="12290"/>
    <col width="7.125" customWidth="1" style="2" min="12291" max="12294"/>
    <col width="11.75" customWidth="1" style="2" min="12295" max="12295"/>
    <col width="11.375" customWidth="1" style="2" min="12296" max="12296"/>
    <col width="8.25" customWidth="1" style="2" min="12297" max="12297"/>
    <col width="11.375" customWidth="1" style="2" min="12298" max="12298"/>
    <col width="6.5" customWidth="1" style="2" min="12299" max="12544"/>
    <col width="5.875" customWidth="1" style="2" min="12545" max="12545"/>
    <col width="5" customWidth="1" style="2" min="12546" max="12546"/>
    <col width="7.125" customWidth="1" style="2" min="12547" max="12550"/>
    <col width="11.75" customWidth="1" style="2" min="12551" max="12551"/>
    <col width="11.375" customWidth="1" style="2" min="12552" max="12552"/>
    <col width="8.25" customWidth="1" style="2" min="12553" max="12553"/>
    <col width="11.375" customWidth="1" style="2" min="12554" max="12554"/>
    <col width="6.5" customWidth="1" style="2" min="12555" max="12800"/>
    <col width="5.875" customWidth="1" style="2" min="12801" max="12801"/>
    <col width="5" customWidth="1" style="2" min="12802" max="12802"/>
    <col width="7.125" customWidth="1" style="2" min="12803" max="12806"/>
    <col width="11.75" customWidth="1" style="2" min="12807" max="12807"/>
    <col width="11.375" customWidth="1" style="2" min="12808" max="12808"/>
    <col width="8.25" customWidth="1" style="2" min="12809" max="12809"/>
    <col width="11.375" customWidth="1" style="2" min="12810" max="12810"/>
    <col width="6.5" customWidth="1" style="2" min="12811" max="13056"/>
    <col width="5.875" customWidth="1" style="2" min="13057" max="13057"/>
    <col width="5" customWidth="1" style="2" min="13058" max="13058"/>
    <col width="7.125" customWidth="1" style="2" min="13059" max="13062"/>
    <col width="11.75" customWidth="1" style="2" min="13063" max="13063"/>
    <col width="11.375" customWidth="1" style="2" min="13064" max="13064"/>
    <col width="8.25" customWidth="1" style="2" min="13065" max="13065"/>
    <col width="11.375" customWidth="1" style="2" min="13066" max="13066"/>
    <col width="6.5" customWidth="1" style="2" min="13067" max="13312"/>
    <col width="5.875" customWidth="1" style="2" min="13313" max="13313"/>
    <col width="5" customWidth="1" style="2" min="13314" max="13314"/>
    <col width="7.125" customWidth="1" style="2" min="13315" max="13318"/>
    <col width="11.75" customWidth="1" style="2" min="13319" max="13319"/>
    <col width="11.375" customWidth="1" style="2" min="13320" max="13320"/>
    <col width="8.25" customWidth="1" style="2" min="13321" max="13321"/>
    <col width="11.375" customWidth="1" style="2" min="13322" max="13322"/>
    <col width="6.5" customWidth="1" style="2" min="13323" max="13568"/>
    <col width="5.875" customWidth="1" style="2" min="13569" max="13569"/>
    <col width="5" customWidth="1" style="2" min="13570" max="13570"/>
    <col width="7.125" customWidth="1" style="2" min="13571" max="13574"/>
    <col width="11.75" customWidth="1" style="2" min="13575" max="13575"/>
    <col width="11.375" customWidth="1" style="2" min="13576" max="13576"/>
    <col width="8.25" customWidth="1" style="2" min="13577" max="13577"/>
    <col width="11.375" customWidth="1" style="2" min="13578" max="13578"/>
    <col width="6.5" customWidth="1" style="2" min="13579" max="13824"/>
    <col width="5.875" customWidth="1" style="2" min="13825" max="13825"/>
    <col width="5" customWidth="1" style="2" min="13826" max="13826"/>
    <col width="7.125" customWidth="1" style="2" min="13827" max="13830"/>
    <col width="11.75" customWidth="1" style="2" min="13831" max="13831"/>
    <col width="11.375" customWidth="1" style="2" min="13832" max="13832"/>
    <col width="8.25" customWidth="1" style="2" min="13833" max="13833"/>
    <col width="11.375" customWidth="1" style="2" min="13834" max="13834"/>
    <col width="6.5" customWidth="1" style="2" min="13835" max="14080"/>
    <col width="5.875" customWidth="1" style="2" min="14081" max="14081"/>
    <col width="5" customWidth="1" style="2" min="14082" max="14082"/>
    <col width="7.125" customWidth="1" style="2" min="14083" max="14086"/>
    <col width="11.75" customWidth="1" style="2" min="14087" max="14087"/>
    <col width="11.375" customWidth="1" style="2" min="14088" max="14088"/>
    <col width="8.25" customWidth="1" style="2" min="14089" max="14089"/>
    <col width="11.375" customWidth="1" style="2" min="14090" max="14090"/>
    <col width="6.5" customWidth="1" style="2" min="14091" max="14336"/>
    <col width="5.875" customWidth="1" style="2" min="14337" max="14337"/>
    <col width="5" customWidth="1" style="2" min="14338" max="14338"/>
    <col width="7.125" customWidth="1" style="2" min="14339" max="14342"/>
    <col width="11.75" customWidth="1" style="2" min="14343" max="14343"/>
    <col width="11.375" customWidth="1" style="2" min="14344" max="14344"/>
    <col width="8.25" customWidth="1" style="2" min="14345" max="14345"/>
    <col width="11.375" customWidth="1" style="2" min="14346" max="14346"/>
    <col width="6.5" customWidth="1" style="2" min="14347" max="14592"/>
    <col width="5.875" customWidth="1" style="2" min="14593" max="14593"/>
    <col width="5" customWidth="1" style="2" min="14594" max="14594"/>
    <col width="7.125" customWidth="1" style="2" min="14595" max="14598"/>
    <col width="11.75" customWidth="1" style="2" min="14599" max="14599"/>
    <col width="11.375" customWidth="1" style="2" min="14600" max="14600"/>
    <col width="8.25" customWidth="1" style="2" min="14601" max="14601"/>
    <col width="11.375" customWidth="1" style="2" min="14602" max="14602"/>
    <col width="6.5" customWidth="1" style="2" min="14603" max="14848"/>
    <col width="5.875" customWidth="1" style="2" min="14849" max="14849"/>
    <col width="5" customWidth="1" style="2" min="14850" max="14850"/>
    <col width="7.125" customWidth="1" style="2" min="14851" max="14854"/>
    <col width="11.75" customWidth="1" style="2" min="14855" max="14855"/>
    <col width="11.375" customWidth="1" style="2" min="14856" max="14856"/>
    <col width="8.25" customWidth="1" style="2" min="14857" max="14857"/>
    <col width="11.375" customWidth="1" style="2" min="14858" max="14858"/>
    <col width="6.5" customWidth="1" style="2" min="14859" max="15104"/>
    <col width="5.875" customWidth="1" style="2" min="15105" max="15105"/>
    <col width="5" customWidth="1" style="2" min="15106" max="15106"/>
    <col width="7.125" customWidth="1" style="2" min="15107" max="15110"/>
    <col width="11.75" customWidth="1" style="2" min="15111" max="15111"/>
    <col width="11.375" customWidth="1" style="2" min="15112" max="15112"/>
    <col width="8.25" customWidth="1" style="2" min="15113" max="15113"/>
    <col width="11.375" customWidth="1" style="2" min="15114" max="15114"/>
    <col width="6.5" customWidth="1" style="2" min="15115" max="15360"/>
    <col width="5.875" customWidth="1" style="2" min="15361" max="15361"/>
    <col width="5" customWidth="1" style="2" min="15362" max="15362"/>
    <col width="7.125" customWidth="1" style="2" min="15363" max="15366"/>
    <col width="11.75" customWidth="1" style="2" min="15367" max="15367"/>
    <col width="11.375" customWidth="1" style="2" min="15368" max="15368"/>
    <col width="8.25" customWidth="1" style="2" min="15369" max="15369"/>
    <col width="11.375" customWidth="1" style="2" min="15370" max="15370"/>
    <col width="6.5" customWidth="1" style="2" min="15371" max="15616"/>
    <col width="5.875" customWidth="1" style="2" min="15617" max="15617"/>
    <col width="5" customWidth="1" style="2" min="15618" max="15618"/>
    <col width="7.125" customWidth="1" style="2" min="15619" max="15622"/>
    <col width="11.75" customWidth="1" style="2" min="15623" max="15623"/>
    <col width="11.375" customWidth="1" style="2" min="15624" max="15624"/>
    <col width="8.25" customWidth="1" style="2" min="15625" max="15625"/>
    <col width="11.375" customWidth="1" style="2" min="15626" max="15626"/>
    <col width="6.5" customWidth="1" style="2" min="15627" max="15872"/>
    <col width="5.875" customWidth="1" style="2" min="15873" max="15873"/>
    <col width="5" customWidth="1" style="2" min="15874" max="15874"/>
    <col width="7.125" customWidth="1" style="2" min="15875" max="15878"/>
    <col width="11.75" customWidth="1" style="2" min="15879" max="15879"/>
    <col width="11.375" customWidth="1" style="2" min="15880" max="15880"/>
    <col width="8.25" customWidth="1" style="2" min="15881" max="15881"/>
    <col width="11.375" customWidth="1" style="2" min="15882" max="15882"/>
    <col width="6.5" customWidth="1" style="2" min="15883" max="16128"/>
    <col width="5.875" customWidth="1" style="2" min="16129" max="16129"/>
    <col width="5" customWidth="1" style="2" min="16130" max="16130"/>
    <col width="7.125" customWidth="1" style="2" min="16131" max="16134"/>
    <col width="11.75" customWidth="1" style="2" min="16135" max="16135"/>
    <col width="11.375" customWidth="1" style="2" min="16136" max="16136"/>
    <col width="8.25" customWidth="1" style="2" min="16137" max="16137"/>
    <col width="11.375" customWidth="1" style="2" min="16138" max="16138"/>
    <col width="6.5" customWidth="1" style="2" min="16139" max="16384"/>
  </cols>
  <sheetData>
    <row r="1" ht="14.25" customFormat="1" customHeight="1" s="5">
      <c r="A1" s="3" t="inlineStr">
        <is>
          <t>月份</t>
        </is>
      </c>
      <c r="B1" s="3" t="inlineStr">
        <is>
          <t>日數</t>
        </is>
      </c>
      <c r="C1" s="3" t="inlineStr">
        <is>
          <t>開盤</t>
        </is>
      </c>
      <c r="D1" s="3" t="inlineStr">
        <is>
          <t>最高</t>
        </is>
      </c>
      <c r="E1" s="3" t="inlineStr">
        <is>
          <t>最低</t>
        </is>
      </c>
      <c r="F1" s="3" t="inlineStr">
        <is>
          <t>收盤</t>
        </is>
      </c>
      <c r="G1" s="4" t="inlineStr">
        <is>
          <t xml:space="preserve">兩個月最高點 </t>
        </is>
      </c>
      <c r="H1" s="4" t="inlineStr">
        <is>
          <t>兩個月最低點</t>
        </is>
      </c>
      <c r="I1" s="4" t="inlineStr">
        <is>
          <t>轉折點</t>
        </is>
      </c>
      <c r="J1" s="4" t="inlineStr">
        <is>
          <t>當月多空轉折</t>
        </is>
      </c>
    </row>
    <row r="2" ht="14.25" customFormat="1" customHeight="1" s="11">
      <c r="A2" s="6" t="inlineStr">
        <is>
          <t>22M05</t>
        </is>
      </c>
      <c r="B2" s="6" t="n">
        <v>21</v>
      </c>
      <c r="C2" s="7" t="n">
        <v>16593.21</v>
      </c>
      <c r="D2" s="7" t="n">
        <v>16807.77</v>
      </c>
      <c r="E2" s="8" t="n">
        <v>15616.68</v>
      </c>
      <c r="F2" s="7" t="n">
        <v>16807.77</v>
      </c>
      <c r="G2" s="9" t="n"/>
      <c r="H2" s="9" t="n"/>
      <c r="I2" s="9" t="n"/>
      <c r="J2" s="10" t="n"/>
    </row>
    <row r="3" ht="14.25" customFormat="1" customHeight="1" s="15">
      <c r="A3" s="12" t="inlineStr">
        <is>
          <t>22M06</t>
        </is>
      </c>
      <c r="B3" s="12" t="n">
        <v>21</v>
      </c>
      <c r="C3" s="13" t="n">
        <v>16718.91</v>
      </c>
      <c r="D3" s="14" t="n">
        <v>16811.04</v>
      </c>
      <c r="E3" s="13" t="n">
        <v>14825.73</v>
      </c>
      <c r="F3" s="13" t="n">
        <v>14825.73</v>
      </c>
      <c r="G3" s="9">
        <f>MAX(D2:D3)</f>
        <v/>
      </c>
      <c r="H3" s="9">
        <f>MIN(E2:E3)</f>
        <v/>
      </c>
      <c r="I3" s="9">
        <f>(G3+H3)/2</f>
        <v/>
      </c>
      <c r="J3" s="9" t="n"/>
    </row>
    <row r="4" ht="14.25" customFormat="1" customHeight="1" s="11">
      <c r="A4" s="6" t="inlineStr">
        <is>
          <t>22M07</t>
        </is>
      </c>
      <c r="B4" s="6" t="n">
        <v>21</v>
      </c>
      <c r="C4" s="8" t="n">
        <v>14812.13</v>
      </c>
      <c r="D4" s="7" t="n">
        <v>15035.27</v>
      </c>
      <c r="E4" s="8" t="n">
        <v>13928.66</v>
      </c>
      <c r="F4" s="7" t="n">
        <v>15000.07</v>
      </c>
      <c r="G4" s="9">
        <f>MAX(D3:D4)</f>
        <v/>
      </c>
      <c r="H4" s="9">
        <f>MIN(E3:E4)</f>
        <v/>
      </c>
      <c r="I4" s="9">
        <f>(G4+H4)/2</f>
        <v/>
      </c>
      <c r="J4" s="10">
        <f>I3</f>
        <v/>
      </c>
    </row>
    <row r="5" ht="14.25" customFormat="1" customHeight="1" s="15">
      <c r="A5" s="12" t="inlineStr">
        <is>
          <t>22M08</t>
        </is>
      </c>
      <c r="B5" s="12" t="n">
        <v>23</v>
      </c>
      <c r="C5" s="13" t="n">
        <v>14982.27</v>
      </c>
      <c r="D5" s="14" t="n">
        <v>15475.89</v>
      </c>
      <c r="E5" s="13" t="n">
        <v>14545.69</v>
      </c>
      <c r="F5" s="14" t="n">
        <v>15095.44</v>
      </c>
      <c r="G5" s="9">
        <f>MAX(D4:D5)</f>
        <v/>
      </c>
      <c r="H5" s="9">
        <f>MIN(E4:E5)</f>
        <v/>
      </c>
      <c r="I5" s="9">
        <f>(G5+H5)/2</f>
        <v/>
      </c>
      <c r="J5" s="10">
        <f>I4</f>
        <v/>
      </c>
    </row>
    <row r="6" ht="14.25" customFormat="1" customHeight="1" s="11">
      <c r="A6" s="6" t="inlineStr">
        <is>
          <t>22M09</t>
        </is>
      </c>
      <c r="B6" s="6" t="n">
        <v>21</v>
      </c>
      <c r="C6" s="8" t="n">
        <v>14981</v>
      </c>
      <c r="D6" s="8" t="n">
        <v>14981</v>
      </c>
      <c r="E6" s="8" t="n">
        <v>13274.72</v>
      </c>
      <c r="F6" s="8" t="n">
        <v>13424.58</v>
      </c>
      <c r="G6" s="9">
        <f>MAX(D5:D6)</f>
        <v/>
      </c>
      <c r="H6" s="9">
        <f>MIN(E5:E6)</f>
        <v/>
      </c>
      <c r="I6" s="9">
        <f>(G6+H6)/2</f>
        <v/>
      </c>
      <c r="J6" s="10">
        <f>I5</f>
        <v/>
      </c>
    </row>
    <row r="7" ht="14.25" customFormat="1" customHeight="1" s="15">
      <c r="A7" s="12" t="inlineStr">
        <is>
          <t>22M10</t>
        </is>
      </c>
      <c r="B7" s="12" t="n">
        <v>20</v>
      </c>
      <c r="C7" s="13" t="n">
        <v>13359.26</v>
      </c>
      <c r="D7" s="14" t="n">
        <v>13902.02</v>
      </c>
      <c r="E7" s="13" t="n">
        <v>12629.48</v>
      </c>
      <c r="F7" s="13" t="n">
        <v>12949.75</v>
      </c>
      <c r="G7" s="9">
        <f>MAX(D6:D7)</f>
        <v/>
      </c>
      <c r="H7" s="9">
        <f>MIN(E6:E7)</f>
        <v/>
      </c>
      <c r="I7" s="9">
        <f>(G7+H7)/2</f>
        <v/>
      </c>
      <c r="J7" s="10">
        <f>I6</f>
        <v/>
      </c>
    </row>
    <row r="8" ht="14.25" customFormat="1" customHeight="1" s="11">
      <c r="A8" s="6" t="inlineStr">
        <is>
          <t>22M11</t>
        </is>
      </c>
      <c r="B8" s="6" t="n">
        <v>22</v>
      </c>
      <c r="C8" s="8" t="n">
        <v>12933.12</v>
      </c>
      <c r="D8" s="7" t="n">
        <v>14879.55</v>
      </c>
      <c r="E8" s="8" t="n">
        <v>12868.25</v>
      </c>
      <c r="F8" s="7" t="n">
        <v>14879.55</v>
      </c>
      <c r="G8" s="9">
        <f>MAX(D7:D8)</f>
        <v/>
      </c>
      <c r="H8" s="9">
        <f>MIN(E7:E8)</f>
        <v/>
      </c>
      <c r="I8" s="9">
        <f>(G8+H8)/2</f>
        <v/>
      </c>
      <c r="J8" s="10">
        <f>I7</f>
        <v/>
      </c>
    </row>
    <row r="9" ht="14.25" customFormat="1" customHeight="1" s="15">
      <c r="A9" s="12" t="inlineStr">
        <is>
          <t>22M12</t>
        </is>
      </c>
      <c r="B9" s="12" t="n">
        <v>22</v>
      </c>
      <c r="C9" s="14" t="n">
        <v>15059.92</v>
      </c>
      <c r="D9" s="14" t="n">
        <v>15152.38</v>
      </c>
      <c r="E9" s="13" t="n">
        <v>13981.63</v>
      </c>
      <c r="F9" s="13" t="n">
        <v>14137.69</v>
      </c>
      <c r="G9" s="9">
        <f>MAX(D8:D9)</f>
        <v/>
      </c>
      <c r="H9" s="9">
        <f>MIN(E8:E9)</f>
        <v/>
      </c>
      <c r="I9" s="9">
        <f>(G9+H9)/2</f>
        <v/>
      </c>
      <c r="J9" s="10">
        <f>I8</f>
        <v/>
      </c>
    </row>
    <row r="10" ht="14.25" customFormat="1" customHeight="1" s="11">
      <c r="A10" s="6" t="inlineStr">
        <is>
          <t>23M01</t>
        </is>
      </c>
      <c r="B10" s="6" t="n">
        <v>13</v>
      </c>
      <c r="C10" s="8" t="n">
        <v>14108.16</v>
      </c>
      <c r="D10" s="7" t="n">
        <v>15493.82</v>
      </c>
      <c r="E10" s="8" t="n">
        <v>14001.97</v>
      </c>
      <c r="F10" s="7" t="n">
        <v>15265.2</v>
      </c>
      <c r="G10" s="9">
        <f>MAX(D9:D10)</f>
        <v/>
      </c>
      <c r="H10" s="9">
        <f>MIN(E9:E10)</f>
        <v/>
      </c>
      <c r="I10" s="9">
        <f>(G10+H10)/2</f>
        <v/>
      </c>
      <c r="J10" s="10">
        <f>I9</f>
        <v/>
      </c>
    </row>
    <row r="11" ht="14.25" customFormat="1" customHeight="1" s="15">
      <c r="A11" s="12" t="inlineStr">
        <is>
          <t>23M02</t>
        </is>
      </c>
      <c r="B11" s="12" t="n">
        <v>18</v>
      </c>
      <c r="C11" s="14" t="n">
        <v>15346.35</v>
      </c>
      <c r="D11" s="14" t="n">
        <v>15717.96</v>
      </c>
      <c r="E11" s="14" t="n">
        <v>15291.68</v>
      </c>
      <c r="F11" s="14" t="n">
        <v>15503.79</v>
      </c>
      <c r="G11" s="9">
        <f>MAX(D10:D11)</f>
        <v/>
      </c>
      <c r="H11" s="9">
        <f>MIN(E10:E11)</f>
        <v/>
      </c>
      <c r="I11" s="9">
        <f>(G11+H11)/2</f>
        <v/>
      </c>
      <c r="J11" s="10">
        <f>I10</f>
        <v/>
      </c>
    </row>
    <row r="12" ht="14.25" customFormat="1" customHeight="1" s="11">
      <c r="A12" s="6" t="inlineStr">
        <is>
          <t>23M03</t>
        </is>
      </c>
      <c r="B12" s="6" t="n">
        <v>23</v>
      </c>
      <c r="C12" s="8" t="n">
        <v>15435.38</v>
      </c>
      <c r="D12" s="7" t="n">
        <v>15951.8</v>
      </c>
      <c r="E12" s="8" t="n">
        <v>15186.74</v>
      </c>
      <c r="F12" s="7" t="n">
        <v>15868.06</v>
      </c>
      <c r="G12" s="9">
        <f>MAX(D11:D12)</f>
        <v/>
      </c>
      <c r="H12" s="9">
        <f>MIN(E11:E12)</f>
        <v/>
      </c>
      <c r="I12" s="9">
        <f>(G12+H12)/2</f>
        <v/>
      </c>
      <c r="J12" s="10">
        <f>I11</f>
        <v/>
      </c>
    </row>
    <row r="13" ht="14.25" customFormat="1" customHeight="1" s="15">
      <c r="A13" s="12" t="inlineStr">
        <is>
          <t>23M04</t>
        </is>
      </c>
      <c r="B13" s="12" t="n">
        <v>17</v>
      </c>
      <c r="C13" s="13" t="n">
        <v>15838.07</v>
      </c>
      <c r="D13" s="14" t="n">
        <v>15973.82</v>
      </c>
      <c r="E13" s="13" t="n">
        <v>15284.46</v>
      </c>
      <c r="F13" s="13" t="n">
        <v>15579.18</v>
      </c>
      <c r="G13" s="9">
        <f>MAX(D12:D13)</f>
        <v/>
      </c>
      <c r="H13" s="9">
        <f>MIN(E12:E13)</f>
        <v/>
      </c>
      <c r="I13" s="9">
        <f>(G13+H13)/2</f>
        <v/>
      </c>
      <c r="J13" s="10">
        <f>I12</f>
        <v/>
      </c>
    </row>
    <row r="14" ht="14.25" customFormat="1" customHeight="1" s="11">
      <c r="A14" s="6" t="inlineStr">
        <is>
          <t>23M05</t>
        </is>
      </c>
      <c r="B14" s="6" t="n">
        <v>22</v>
      </c>
      <c r="C14" s="7" t="n">
        <v>15588.68</v>
      </c>
      <c r="D14" s="7" t="n">
        <v>16683.76</v>
      </c>
      <c r="E14" s="8" t="n">
        <v>15424.42</v>
      </c>
      <c r="F14" s="7" t="n">
        <v>16578.96</v>
      </c>
      <c r="G14" s="9">
        <f>MAX(D13:D14)</f>
        <v/>
      </c>
      <c r="H14" s="9">
        <f>MIN(E13:E14)</f>
        <v/>
      </c>
      <c r="I14" s="9">
        <f>(G14+H14)/2</f>
        <v/>
      </c>
      <c r="J14" s="10">
        <f>I13</f>
        <v/>
      </c>
    </row>
    <row r="15" ht="14.25" customFormat="1" customHeight="1" s="15">
      <c r="A15" s="12" t="inlineStr">
        <is>
          <t>23M06</t>
        </is>
      </c>
      <c r="B15" s="12" t="n">
        <v>20</v>
      </c>
      <c r="C15" s="13" t="n">
        <v>16511</v>
      </c>
      <c r="D15" s="14" t="n">
        <v>17346.32</v>
      </c>
      <c r="E15" s="13" t="n">
        <v>16477.43</v>
      </c>
      <c r="F15" s="14" t="n">
        <v>16915.54</v>
      </c>
      <c r="G15" s="9">
        <f>MAX(D14:D15)</f>
        <v/>
      </c>
      <c r="H15" s="9">
        <f>MIN(E14:E15)</f>
        <v/>
      </c>
      <c r="I15" s="9">
        <f>(G15+H15)/2</f>
        <v/>
      </c>
      <c r="J15" s="10">
        <f>I14</f>
        <v/>
      </c>
    </row>
    <row r="16" ht="14.25" customFormat="1" customHeight="1" s="11">
      <c r="A16" s="6" t="inlineStr">
        <is>
          <t>23M07</t>
        </is>
      </c>
      <c r="B16" s="6" t="n">
        <v>21</v>
      </c>
      <c r="C16" s="7" t="n">
        <v>16946.71</v>
      </c>
      <c r="D16" s="7" t="n">
        <v>17463.76</v>
      </c>
      <c r="E16" s="8" t="n">
        <v>16593.84</v>
      </c>
      <c r="F16" s="7" t="n">
        <v>17145.43</v>
      </c>
      <c r="G16" s="9">
        <f>MAX(D15:D16)</f>
        <v/>
      </c>
      <c r="H16" s="9">
        <f>MIN(E15:E16)</f>
        <v/>
      </c>
      <c r="I16" s="9">
        <f>(G16+H16)/2</f>
        <v/>
      </c>
      <c r="J16" s="10">
        <f>I15</f>
        <v/>
      </c>
    </row>
    <row r="17" ht="14.25" customFormat="1" customHeight="1" s="15">
      <c r="A17" s="12" t="inlineStr">
        <is>
          <t>23M08</t>
        </is>
      </c>
      <c r="B17" s="12" t="n">
        <v>22</v>
      </c>
      <c r="C17" s="13" t="n">
        <v>17141.97</v>
      </c>
      <c r="D17" s="14" t="n">
        <v>17252.32</v>
      </c>
      <c r="E17" s="13" t="n">
        <v>16264.65</v>
      </c>
      <c r="F17" s="13" t="n">
        <v>16634.51</v>
      </c>
      <c r="G17" s="9">
        <f>MAX(D16:D17)</f>
        <v/>
      </c>
      <c r="H17" s="9">
        <f>MIN(E16:E17)</f>
        <v/>
      </c>
      <c r="I17" s="9">
        <f>(G17+H17)/2</f>
        <v/>
      </c>
      <c r="J17" s="10">
        <f>I16</f>
        <v/>
      </c>
    </row>
    <row r="18" ht="14.25" customFormat="1" customHeight="1" s="11">
      <c r="A18" s="6" t="inlineStr">
        <is>
          <t>23M09</t>
        </is>
      </c>
      <c r="B18" s="6" t="n">
        <v>20</v>
      </c>
      <c r="C18" s="7" t="n">
        <v>16640.92</v>
      </c>
      <c r="D18" s="7" t="n">
        <v>16920.92</v>
      </c>
      <c r="E18" s="8" t="n">
        <v>16202.43</v>
      </c>
      <c r="F18" s="8" t="n">
        <v>16353.74</v>
      </c>
      <c r="G18" s="9">
        <f>MAX(D17:D18)</f>
        <v/>
      </c>
      <c r="H18" s="9">
        <f>MIN(E17:E18)</f>
        <v/>
      </c>
      <c r="I18" s="9">
        <f>(G18+H18)/2</f>
        <v/>
      </c>
      <c r="J18" s="10">
        <f>I17</f>
        <v/>
      </c>
    </row>
    <row r="19" ht="14.25" customFormat="1" customHeight="1" s="15">
      <c r="A19" s="12" t="inlineStr">
        <is>
          <t>23M10</t>
        </is>
      </c>
      <c r="B19" s="12" t="n">
        <v>20</v>
      </c>
      <c r="C19" s="14" t="n">
        <v>16382.96</v>
      </c>
      <c r="D19" s="14" t="n">
        <v>16825.91</v>
      </c>
      <c r="E19" s="13" t="n">
        <v>15975.91</v>
      </c>
      <c r="F19" s="13" t="n">
        <v>16001.27</v>
      </c>
      <c r="G19" s="9">
        <f>MAX(D18:D19)</f>
        <v/>
      </c>
      <c r="H19" s="9">
        <f>MIN(E18:E19)</f>
        <v/>
      </c>
      <c r="I19" s="9">
        <f>(G19+H19)/2</f>
        <v/>
      </c>
      <c r="J19" s="10">
        <f>I18</f>
        <v/>
      </c>
    </row>
    <row r="20" ht="14.25" customFormat="1" customHeight="1" s="11">
      <c r="A20" s="6" t="inlineStr">
        <is>
          <t>23M11</t>
        </is>
      </c>
      <c r="B20" s="6" t="n">
        <v>22</v>
      </c>
      <c r="C20" s="7" t="n">
        <v>16027.72</v>
      </c>
      <c r="D20" s="7" t="n">
        <v>17441.79</v>
      </c>
      <c r="E20" s="8" t="n">
        <v>15978.26</v>
      </c>
      <c r="F20" s="7" t="n">
        <v>17433.85</v>
      </c>
      <c r="G20" s="9">
        <f>MAX(D19:D20)</f>
        <v/>
      </c>
      <c r="H20" s="9">
        <f>MIN(E19:E20)</f>
        <v/>
      </c>
      <c r="I20" s="9">
        <f>(G20+H20)/2</f>
        <v/>
      </c>
      <c r="J20" s="10">
        <f>I19</f>
        <v/>
      </c>
    </row>
    <row r="21" ht="14.25" customFormat="1" customHeight="1" s="15">
      <c r="A21" s="12" t="inlineStr">
        <is>
          <t>23M12</t>
        </is>
      </c>
      <c r="B21" s="12" t="n">
        <v>21</v>
      </c>
      <c r="C21" s="13" t="n">
        <v>17422.35</v>
      </c>
      <c r="D21" s="14" t="n">
        <v>17945.7</v>
      </c>
      <c r="E21" s="13" t="n">
        <v>17252.57</v>
      </c>
      <c r="F21" s="14" t="n">
        <v>17930.81</v>
      </c>
      <c r="G21" s="9">
        <f>MAX(D20:D21)</f>
        <v/>
      </c>
      <c r="H21" s="9">
        <f>MIN(E20:E21)</f>
        <v/>
      </c>
      <c r="I21" s="9">
        <f>(G21+H21)/2</f>
        <v/>
      </c>
      <c r="J21" s="10">
        <f>I20</f>
        <v/>
      </c>
    </row>
    <row r="22" ht="14.25" customFormat="1" customHeight="1" s="11">
      <c r="A22" s="6" t="inlineStr">
        <is>
          <t>24M01</t>
        </is>
      </c>
      <c r="B22" s="6" t="n">
        <v>22</v>
      </c>
      <c r="C22" s="7" t="n">
        <v>17939.79</v>
      </c>
      <c r="D22" s="7" t="n">
        <v>18138.74</v>
      </c>
      <c r="E22" s="8" t="n">
        <v>17151.58</v>
      </c>
      <c r="F22" s="8" t="n">
        <v>17889.56</v>
      </c>
      <c r="G22" s="9" t="n">
        <v>18138.74</v>
      </c>
      <c r="H22" s="9" t="n">
        <v>17151.58</v>
      </c>
      <c r="I22" s="9" t="n">
        <v>17645.16</v>
      </c>
      <c r="J22" s="10" t="inlineStr"/>
    </row>
    <row r="23" ht="14.25" customFormat="1" customHeight="1" s="15">
      <c r="A23" s="12" t="inlineStr">
        <is>
          <t>24M02</t>
        </is>
      </c>
      <c r="B23" s="12" t="n">
        <v>13</v>
      </c>
      <c r="C23" s="13" t="n">
        <v>17871.27</v>
      </c>
      <c r="D23" s="14" t="n">
        <v>19023.01</v>
      </c>
      <c r="E23" s="13" t="n">
        <v>17832.95</v>
      </c>
      <c r="F23" s="14" t="n">
        <v>18966.77</v>
      </c>
      <c r="G23" s="9" t="n">
        <v>19023.01</v>
      </c>
      <c r="H23" s="9" t="n">
        <v>17151.58</v>
      </c>
      <c r="I23" s="9" t="n">
        <v>18087.295</v>
      </c>
      <c r="J23" s="10" t="n">
        <v>17645.16</v>
      </c>
    </row>
    <row r="24" ht="14.25" customFormat="1" customHeight="1" s="11">
      <c r="A24" s="6" t="inlineStr">
        <is>
          <t>24M03</t>
        </is>
      </c>
      <c r="B24" s="6" t="n">
        <v>21</v>
      </c>
      <c r="C24" s="7" t="n">
        <v>19021.35</v>
      </c>
      <c r="D24" s="7" t="n">
        <v>20397.07</v>
      </c>
      <c r="E24" s="8" t="n">
        <v>18923.46</v>
      </c>
      <c r="F24" s="7" t="n">
        <v>20294.45</v>
      </c>
      <c r="G24" s="9" t="n">
        <v>20397.07</v>
      </c>
      <c r="H24" s="9" t="n">
        <v>17832.95</v>
      </c>
      <c r="I24" s="9" t="n">
        <v>19115.01</v>
      </c>
      <c r="J24" s="10" t="n">
        <v>18087.295</v>
      </c>
    </row>
    <row r="25" ht="14.25" customFormat="1" customHeight="1" s="15">
      <c r="A25" s="12" t="inlineStr">
        <is>
          <t>24M04</t>
        </is>
      </c>
      <c r="B25" s="12" t="n">
        <v>20</v>
      </c>
      <c r="C25" s="14" t="n">
        <v>20319.73</v>
      </c>
      <c r="D25" s="14" t="n">
        <v>20883.69</v>
      </c>
      <c r="E25" s="13" t="n">
        <v>19291.88</v>
      </c>
      <c r="F25" s="14" t="n">
        <v>20396.6</v>
      </c>
      <c r="G25" s="9" t="n">
        <v>20883.69</v>
      </c>
      <c r="H25" s="9" t="n">
        <v>18923.46</v>
      </c>
      <c r="I25" s="9" t="n">
        <v>19903.575</v>
      </c>
      <c r="J25" s="10" t="n">
        <v>19115.01</v>
      </c>
    </row>
    <row r="26" ht="14.25" customFormat="1" customHeight="1" s="11">
      <c r="A26" s="6" t="inlineStr">
        <is>
          <t>24M05</t>
        </is>
      </c>
      <c r="B26" s="6" t="n">
        <v>22</v>
      </c>
      <c r="C26" s="8" t="n">
        <v>20360.67</v>
      </c>
      <c r="D26" s="7" t="n">
        <v>21937.4</v>
      </c>
      <c r="E26" s="8" t="n">
        <v>20222.44</v>
      </c>
      <c r="F26" s="7" t="n">
        <v>21174.22</v>
      </c>
      <c r="G26" s="9" t="n">
        <v>21937.4</v>
      </c>
      <c r="H26" s="9" t="n">
        <v>19291.88</v>
      </c>
      <c r="I26" s="9" t="n">
        <v>20614.64</v>
      </c>
      <c r="J26" s="10" t="n">
        <v>19903.575</v>
      </c>
    </row>
    <row r="27" ht="14.25" customFormat="1" customHeight="1" s="15">
      <c r="A27" s="12" t="inlineStr">
        <is>
          <t>24M06</t>
        </is>
      </c>
      <c r="B27" s="12" t="n">
        <v>19</v>
      </c>
      <c r="C27" s="14" t="n">
        <v>21388.71</v>
      </c>
      <c r="D27" s="14" t="n">
        <v>23406.1</v>
      </c>
      <c r="E27" s="14" t="n">
        <v>21264.63</v>
      </c>
      <c r="F27" s="14" t="n">
        <v>23032.25</v>
      </c>
      <c r="G27" s="9" t="n">
        <v>23406.1</v>
      </c>
      <c r="H27" s="9" t="n">
        <v>20222.44</v>
      </c>
      <c r="I27" s="9" t="n">
        <v>21814.27</v>
      </c>
      <c r="J27" s="10" t="n">
        <v>20614.64</v>
      </c>
    </row>
    <row r="28" ht="14.25" customFormat="1" customHeight="1" s="11">
      <c r="A28" s="6" t="inlineStr">
        <is>
          <t>24M07</t>
        </is>
      </c>
      <c r="B28" s="6" t="n">
        <v>21</v>
      </c>
      <c r="C28" s="7" t="n">
        <v>23042.7</v>
      </c>
      <c r="D28" s="7" t="n">
        <v>24416.67</v>
      </c>
      <c r="E28" s="8" t="n">
        <v>21833.85</v>
      </c>
      <c r="F28" s="8" t="n">
        <v>22199.35</v>
      </c>
      <c r="G28" s="9" t="n">
        <v>24416.67</v>
      </c>
      <c r="H28" s="9" t="n">
        <v>21264.63</v>
      </c>
      <c r="I28" s="9" t="n">
        <v>22840.65</v>
      </c>
      <c r="J28" s="10" t="n">
        <v>21814.27</v>
      </c>
    </row>
    <row r="29" ht="14.25" customFormat="1" customHeight="1" s="15">
      <c r="A29" s="12" t="inlineStr">
        <is>
          <t>24M08</t>
        </is>
      </c>
      <c r="B29" s="12" t="n">
        <v>22</v>
      </c>
      <c r="C29" s="14" t="n">
        <v>22546.4</v>
      </c>
      <c r="D29" s="14" t="n">
        <v>22652.21</v>
      </c>
      <c r="E29" s="13" t="n">
        <v>19662.74</v>
      </c>
      <c r="F29" s="14" t="n">
        <v>22268.09</v>
      </c>
      <c r="G29" s="9" t="n">
        <v>24416.67</v>
      </c>
      <c r="H29" s="9" t="n">
        <v>19662.74</v>
      </c>
      <c r="I29" s="9" t="n">
        <v>22039.705</v>
      </c>
      <c r="J29" s="10" t="n">
        <v>22840.65</v>
      </c>
    </row>
    <row r="30" ht="14.25" customFormat="1" customHeight="1" s="11">
      <c r="A30" s="6" t="inlineStr">
        <is>
          <t>24M09</t>
        </is>
      </c>
      <c r="B30" s="6" t="n">
        <v>20</v>
      </c>
      <c r="C30" s="7" t="n">
        <v>22341.9</v>
      </c>
      <c r="D30" s="7" t="n">
        <v>23079.21</v>
      </c>
      <c r="E30" s="8" t="n">
        <v>20922.17</v>
      </c>
      <c r="F30" s="8" t="n">
        <v>22224.54</v>
      </c>
      <c r="G30" s="9" t="n">
        <v>23079.21</v>
      </c>
      <c r="H30" s="9" t="n">
        <v>19662.74</v>
      </c>
      <c r="I30" s="9" t="n">
        <v>21370.975</v>
      </c>
      <c r="J30" s="10" t="n">
        <v>22039.705</v>
      </c>
    </row>
    <row r="31" ht="14.25" customFormat="1" customHeight="1" s="15">
      <c r="A31" s="12" t="inlineStr">
        <is>
          <t>24M10</t>
        </is>
      </c>
      <c r="B31" s="12" t="n">
        <v>19</v>
      </c>
      <c r="C31" s="14" t="n">
        <v>22329.65</v>
      </c>
      <c r="D31" s="14" t="n">
        <v>23713.7</v>
      </c>
      <c r="E31" s="13" t="n">
        <v>22193.5</v>
      </c>
      <c r="F31" s="14" t="n">
        <v>22820.43</v>
      </c>
      <c r="G31" s="9" t="n">
        <v>23713.7</v>
      </c>
      <c r="H31" s="9" t="n">
        <v>20922.17</v>
      </c>
      <c r="I31" s="9" t="n">
        <v>22317.935</v>
      </c>
      <c r="J31" s="10" t="n">
        <v>21370.975</v>
      </c>
    </row>
    <row r="32" ht="14.25" customFormat="1" customHeight="1" s="11">
      <c r="A32" s="6" t="inlineStr">
        <is>
          <t>24M11</t>
        </is>
      </c>
      <c r="B32" s="6" t="n">
        <v>21</v>
      </c>
      <c r="C32" s="8" t="n">
        <v>22438.93</v>
      </c>
      <c r="D32" s="7" t="n">
        <v>23699.7</v>
      </c>
      <c r="E32" s="8" t="n">
        <v>22055.38</v>
      </c>
      <c r="F32" s="8" t="n">
        <v>22262.5</v>
      </c>
      <c r="G32" s="9" t="n">
        <v>23713.7</v>
      </c>
      <c r="H32" s="9" t="n">
        <v>22055.38</v>
      </c>
      <c r="I32" s="9" t="n">
        <v>22884.54</v>
      </c>
      <c r="J32" s="10" t="n">
        <v>22317.935</v>
      </c>
    </row>
    <row r="33" ht="14.25" customFormat="1" customHeight="1" s="15">
      <c r="A33" s="12" t="inlineStr">
        <is>
          <t>24M12</t>
        </is>
      </c>
      <c r="B33" s="12" t="n">
        <v>22</v>
      </c>
      <c r="C33" s="14" t="n">
        <v>22456.5</v>
      </c>
      <c r="D33" s="14" t="n">
        <v>23387.17</v>
      </c>
      <c r="E33" s="14" t="n">
        <v>22456.5</v>
      </c>
      <c r="F33" s="14" t="n">
        <v>23035.1</v>
      </c>
      <c r="G33" s="9" t="n">
        <v>23699.7</v>
      </c>
      <c r="H33" s="9" t="n">
        <v>22055.38</v>
      </c>
      <c r="I33" s="9" t="n">
        <v>22877.54</v>
      </c>
      <c r="J33" s="10" t="n">
        <v>22884.54</v>
      </c>
    </row>
    <row r="34" ht="14.25" customFormat="1" customHeight="1" s="11">
      <c r="A34" s="6" t="inlineStr">
        <is>
          <t>25M01</t>
        </is>
      </c>
      <c r="B34" s="6" t="n">
        <v>15</v>
      </c>
      <c r="C34" s="8" t="n">
        <v>22975.71</v>
      </c>
      <c r="D34" s="7" t="n">
        <v>23943.95</v>
      </c>
      <c r="E34" s="8" t="n">
        <v>22458.22</v>
      </c>
      <c r="F34" s="7" t="n">
        <v>23525.41</v>
      </c>
      <c r="G34" s="9" t="n">
        <v>23943.95</v>
      </c>
      <c r="H34" s="9" t="n">
        <v>22456.5</v>
      </c>
      <c r="I34" s="9" t="n">
        <v>23200.225</v>
      </c>
      <c r="J34" s="10" t="n">
        <v>22877.54</v>
      </c>
    </row>
    <row r="35" ht="14.25" customFormat="1" customHeight="1" s="15">
      <c r="A35" s="12" t="inlineStr">
        <is>
          <t>25M02</t>
        </is>
      </c>
      <c r="B35" s="12" t="n">
        <v>19</v>
      </c>
      <c r="C35" s="13" t="n">
        <v>22796.71</v>
      </c>
      <c r="D35" s="14" t="n">
        <v>23732.58</v>
      </c>
      <c r="E35" s="13" t="n">
        <v>22502.2</v>
      </c>
      <c r="F35" s="13" t="n">
        <v>23053.18</v>
      </c>
      <c r="G35" s="9" t="n">
        <v>23943.95</v>
      </c>
      <c r="H35" s="9" t="n">
        <v>22458.22</v>
      </c>
      <c r="I35" s="9" t="n">
        <v>23201.085</v>
      </c>
      <c r="J35" s="10" t="n">
        <v>23200.225</v>
      </c>
    </row>
    <row r="36" ht="14.25" customFormat="1" customHeight="1" s="11">
      <c r="A36" s="6" t="inlineStr">
        <is>
          <t>25M03</t>
        </is>
      </c>
      <c r="B36" s="6" t="n">
        <v>21</v>
      </c>
      <c r="C36" s="8" t="n">
        <v>22734.05</v>
      </c>
      <c r="D36" s="8" t="n">
        <v>22979.97</v>
      </c>
      <c r="E36" s="8" t="n">
        <v>20695.9</v>
      </c>
      <c r="F36" s="8" t="n">
        <v>20695.9</v>
      </c>
      <c r="G36" s="9" t="n">
        <v>23732.58</v>
      </c>
      <c r="H36" s="9" t="n">
        <v>20695.9</v>
      </c>
      <c r="I36" s="9" t="n">
        <v>22214.24</v>
      </c>
      <c r="J36" s="10" t="n">
        <v>23201.085</v>
      </c>
    </row>
    <row r="37" ht="14.25" customFormat="1" customHeight="1" s="15">
      <c r="A37" s="12" t="inlineStr">
        <is>
          <t>25M04</t>
        </is>
      </c>
      <c r="B37" s="12" t="n">
        <v>20</v>
      </c>
      <c r="C37" s="14" t="n">
        <v>20884.53</v>
      </c>
      <c r="D37" s="14" t="n">
        <v>21390.52</v>
      </c>
      <c r="E37" s="13" t="n">
        <v>17306.97</v>
      </c>
      <c r="F37" s="13" t="n">
        <v>20235.03</v>
      </c>
      <c r="G37" s="9" t="n">
        <v>22979.97</v>
      </c>
      <c r="H37" s="9" t="n">
        <v>17306.97</v>
      </c>
      <c r="I37" s="9" t="n">
        <v>20143.47</v>
      </c>
      <c r="J37" s="10" t="n">
        <v>22214.24</v>
      </c>
    </row>
    <row r="38" ht="14.25" customFormat="1" customHeight="1" s="11">
      <c r="A38" s="6" t="inlineStr">
        <is>
          <t>25M05</t>
        </is>
      </c>
      <c r="B38" s="6" t="n">
        <v>20</v>
      </c>
      <c r="C38" s="7" t="n">
        <v>20534.08</v>
      </c>
      <c r="D38" s="7" t="n">
        <v>21879.24</v>
      </c>
      <c r="E38" s="7" t="n">
        <v>20320.8</v>
      </c>
      <c r="F38" s="7" t="n">
        <v>21347.3</v>
      </c>
      <c r="G38" s="9" t="n">
        <v>21879.24</v>
      </c>
      <c r="H38" s="9" t="n">
        <v>17306.97</v>
      </c>
      <c r="I38" s="9" t="n">
        <v>19593.105</v>
      </c>
      <c r="J38" s="10" t="n">
        <v>20143.47</v>
      </c>
    </row>
    <row r="39" ht="14.25" customFormat="1" customHeight="1" s="15">
      <c r="A39" s="12" t="inlineStr">
        <is>
          <t>25M06</t>
        </is>
      </c>
      <c r="B39" s="12" t="n">
        <v>21</v>
      </c>
      <c r="C39" s="13" t="n">
        <v>21253.97</v>
      </c>
      <c r="D39" s="14" t="n">
        <v>22587.67</v>
      </c>
      <c r="E39" s="13" t="n">
        <v>20940.98</v>
      </c>
      <c r="F39" s="14" t="n">
        <v>22256.02</v>
      </c>
      <c r="G39" s="9" t="n">
        <v>22587.67</v>
      </c>
      <c r="H39" s="9" t="n">
        <v>20320.8</v>
      </c>
      <c r="I39" s="9" t="n">
        <v>21454.235</v>
      </c>
      <c r="J39" s="10" t="n">
        <v>19593.105</v>
      </c>
    </row>
    <row r="40" ht="14.25" customFormat="1" customHeight="1" s="11">
      <c r="A40" s="6" t="inlineStr">
        <is>
          <t>25M07</t>
        </is>
      </c>
      <c r="B40" s="6" t="n">
        <v>23</v>
      </c>
      <c r="C40" s="7" t="n">
        <v>22419.74</v>
      </c>
      <c r="D40" s="7" t="n">
        <v>23631.11</v>
      </c>
      <c r="E40" s="8" t="n">
        <v>22190.46</v>
      </c>
      <c r="F40" s="7" t="n">
        <v>23542.52</v>
      </c>
      <c r="G40" s="9" t="n">
        <v>23631.11</v>
      </c>
      <c r="H40" s="9" t="n">
        <v>20940.98</v>
      </c>
      <c r="I40" s="9" t="n">
        <v>22286.045</v>
      </c>
      <c r="J40" s="10" t="n">
        <v>21454.235</v>
      </c>
    </row>
    <row r="41" ht="14.25" customFormat="1" customHeight="1" s="15">
      <c r="A41" s="12" t="inlineStr">
        <is>
          <t>25M08</t>
        </is>
      </c>
      <c r="B41" s="12" t="n">
        <v>21</v>
      </c>
      <c r="C41" s="13" t="n">
        <v>23318.37</v>
      </c>
      <c r="D41" s="14" t="n">
        <v>24570.15</v>
      </c>
      <c r="E41" s="13" t="n">
        <v>23151.65</v>
      </c>
      <c r="F41" s="14" t="n">
        <v>24233.1</v>
      </c>
      <c r="G41" s="9" t="n">
        <v>24570.15</v>
      </c>
      <c r="H41" s="9" t="n">
        <v>22190.46</v>
      </c>
      <c r="I41" s="9" t="n">
        <v>23380.305</v>
      </c>
      <c r="J41" s="10" t="n">
        <v>22286.045</v>
      </c>
    </row>
    <row r="42" ht="14.25" customFormat="1" customHeight="1" s="11">
      <c r="A42" s="6" t="inlineStr">
        <is>
          <t>25M09</t>
        </is>
      </c>
      <c r="B42" s="6" t="n">
        <v>21</v>
      </c>
      <c r="C42" s="8" t="n">
        <v>24143.37</v>
      </c>
      <c r="D42" s="7" t="n">
        <v>26394.03</v>
      </c>
      <c r="E42" s="8" t="n">
        <v>23885.41</v>
      </c>
      <c r="F42" s="7" t="n">
        <v>25820.54</v>
      </c>
      <c r="G42" s="9" t="n">
        <v>26394.03</v>
      </c>
      <c r="H42" s="9" t="n">
        <v>23151.65</v>
      </c>
      <c r="I42" s="9" t="n">
        <v>24772.84</v>
      </c>
      <c r="J42" s="10" t="n">
        <v>23380.305</v>
      </c>
    </row>
    <row r="43" ht="14.25" customFormat="1" customHeight="1" s="11">
      <c r="A43" s="6" t="inlineStr">
        <is>
          <t>25M10</t>
        </is>
      </c>
      <c r="B43" s="6" t="n">
        <v>20</v>
      </c>
      <c r="C43" s="8" t="n">
        <v>26078.29</v>
      </c>
      <c r="D43" s="7" t="n">
        <v>28527.68</v>
      </c>
      <c r="E43" s="8" t="n">
        <v>25982.91</v>
      </c>
      <c r="F43" s="7" t="n">
        <v>28233.35</v>
      </c>
      <c r="G43" s="9" t="n">
        <v>28527.68</v>
      </c>
      <c r="H43" s="9" t="n">
        <v>23885.41</v>
      </c>
      <c r="I43" s="9" t="n">
        <v>26206.545</v>
      </c>
      <c r="J43" s="10" t="n">
        <v>24772.84</v>
      </c>
    </row>
    <row r="44" ht="14.25" customFormat="1" customHeight="1" s="11">
      <c r="A44" s="6" t="inlineStr">
        <is>
          <t>25M11</t>
        </is>
      </c>
      <c r="B44" s="16" t="n">
        <v>20</v>
      </c>
      <c r="C44" s="17" t="n">
        <v>28253.53</v>
      </c>
      <c r="D44" s="17" t="n">
        <v>28554.61</v>
      </c>
      <c r="E44" s="18" t="n">
        <v>26395.98</v>
      </c>
      <c r="F44" s="18" t="n">
        <v>27626.48</v>
      </c>
      <c r="G44" s="9" t="n">
        <v>28554.61</v>
      </c>
      <c r="H44" s="9" t="n">
        <v>25982.91</v>
      </c>
      <c r="I44" s="9" t="n">
        <v>27268.76</v>
      </c>
      <c r="J44" s="10" t="n">
        <v>26206.545</v>
      </c>
    </row>
    <row r="45" ht="14.25" customFormat="1" customHeight="1" s="11">
      <c r="A45" s="6" t="inlineStr">
        <is>
          <t>25M12</t>
        </is>
      </c>
      <c r="B45" s="6" t="n">
        <v>22</v>
      </c>
      <c r="C45" s="19" t="n">
        <v>27674.16</v>
      </c>
      <c r="D45" s="19" t="n">
        <v>29009.81</v>
      </c>
      <c r="E45" s="20" t="n">
        <v>27342.53</v>
      </c>
      <c r="F45" s="20" t="n">
        <v>28963.6</v>
      </c>
      <c r="G45" s="9" t="n">
        <v>29009.81</v>
      </c>
      <c r="H45" s="9" t="n">
        <v>26395.98</v>
      </c>
      <c r="I45" s="9" t="n">
        <v>27702.895</v>
      </c>
      <c r="J45" s="10" t="n">
        <v>27268.76</v>
      </c>
    </row>
    <row r="46">
      <c r="A46" s="6" t="inlineStr">
        <is>
          <t>26M01</t>
        </is>
      </c>
      <c r="B46" s="6" t="n">
        <v>23</v>
      </c>
      <c r="C46" s="19" t="n">
        <v>29016.68</v>
      </c>
      <c r="D46" s="19" t="n">
        <v>32996.03</v>
      </c>
      <c r="E46" s="19" t="n">
        <v>29007.75</v>
      </c>
      <c r="F46" s="19" t="n">
        <v>32063.75</v>
      </c>
      <c r="G46" s="9" t="n">
        <v>32996.03</v>
      </c>
      <c r="H46" s="9" t="n">
        <v>27342.53</v>
      </c>
      <c r="I46" s="9" t="n">
        <v>30169.28</v>
      </c>
      <c r="J46" s="10" t="n">
        <v>27702.895</v>
      </c>
    </row>
    <row r="47">
      <c r="A47" s="6" t="inlineStr">
        <is>
          <t>26M02</t>
        </is>
      </c>
      <c r="B47" s="6" t="n">
        <v>12</v>
      </c>
      <c r="C47" s="18" t="n">
        <v>32008.46</v>
      </c>
      <c r="D47" s="17" t="n">
        <v>35579.34</v>
      </c>
      <c r="E47" s="18" t="n">
        <v>31164.28</v>
      </c>
      <c r="F47" s="17" t="n">
        <v>35414.49</v>
      </c>
      <c r="G47" s="9" t="n">
        <v>35579.34</v>
      </c>
      <c r="H47" s="9" t="n">
        <v>29007.75</v>
      </c>
      <c r="I47" s="9" t="n">
        <v>32293.545</v>
      </c>
      <c r="J47" s="10" t="n">
        <v>30169.28</v>
      </c>
    </row>
    <row r="48">
      <c r="A48" s="6" t="inlineStr">
        <is>
          <t>26M03</t>
        </is>
      </c>
      <c r="B48" s="21" t="n">
        <v>22</v>
      </c>
      <c r="C48" s="18" t="n">
        <v>35277.48</v>
      </c>
      <c r="D48" s="17" t="n">
        <v>35345.72</v>
      </c>
      <c r="E48" s="18" t="n">
        <v>31529.36</v>
      </c>
      <c r="F48" s="17" t="n">
        <v>31722.99</v>
      </c>
      <c r="G48" s="9" t="n">
        <v>35579.34</v>
      </c>
      <c r="H48" s="9" t="n">
        <v>31164.28</v>
      </c>
      <c r="I48" s="9" t="n">
        <v>33371.81</v>
      </c>
      <c r="J48" s="10" t="n">
        <v>32293.545</v>
      </c>
    </row>
    <row r="49">
      <c r="A49" s="6" t="inlineStr">
        <is>
          <t>26M04</t>
        </is>
      </c>
      <c r="B49" s="21" t="n">
        <v>20</v>
      </c>
      <c r="C49" s="18" t="n">
        <v>31892.33</v>
      </c>
      <c r="D49" s="17" t="n">
        <v>40194.92</v>
      </c>
      <c r="E49" s="18" t="n">
        <v>31892.33</v>
      </c>
      <c r="F49" s="17" t="n">
        <v>38926.63</v>
      </c>
      <c r="G49" s="9" t="n">
        <v>40194.92</v>
      </c>
      <c r="H49" s="9" t="n">
        <v>31529.36</v>
      </c>
      <c r="I49" s="9" t="n">
        <v>35862.14</v>
      </c>
      <c r="J49" s="10" t="n">
        <v>33371.81</v>
      </c>
    </row>
    <row r="50">
      <c r="A50" s="1" t="inlineStr">
        <is>
          <t>26M05</t>
        </is>
      </c>
      <c r="B50" s="1" t="n">
        <v>20</v>
      </c>
      <c r="C50" s="1" t="n">
        <v>39228.39</v>
      </c>
      <c r="D50" s="1" t="n">
        <v>44954.09</v>
      </c>
      <c r="E50" s="1" t="n">
        <v>39228.39</v>
      </c>
      <c r="F50" s="1" t="n">
        <v>44732.94</v>
      </c>
      <c r="G50" s="1" t="n">
        <v>44954.09</v>
      </c>
      <c r="H50" s="1" t="n">
        <v>31892.33</v>
      </c>
      <c r="I50" s="1" t="n">
        <v>38423.21</v>
      </c>
      <c r="J50" s="10" t="n">
        <v>35862.14</v>
      </c>
    </row>
    <row r="51">
      <c r="A51" s="0" t="inlineStr">
        <is>
          <t>26M06</t>
        </is>
      </c>
      <c r="B51" s="0" t="n">
        <v>21</v>
      </c>
      <c r="C51" s="0" t="n">
        <v>44872.82</v>
      </c>
      <c r="D51" s="0" t="n">
        <v>48218.87</v>
      </c>
      <c r="E51" s="0" t="n">
        <v>42006.39</v>
      </c>
      <c r="F51" s="0" t="n">
        <v>46125.91</v>
      </c>
      <c r="G51" s="0" t="n">
        <v>48218.87</v>
      </c>
      <c r="H51" s="0" t="n">
        <v>39228.39</v>
      </c>
      <c r="I51" s="0" t="n">
        <v>43723.63</v>
      </c>
      <c r="J51" s="1" t="n">
        <v>38423.21</v>
      </c>
    </row>
    <row r="52">
      <c r="A52" s="0" t="inlineStr">
        <is>
          <t>26M07</t>
        </is>
      </c>
      <c r="B52" s="0" t="n">
        <v>22</v>
      </c>
      <c r="C52" s="0" t="n">
        <v>46234.7</v>
      </c>
      <c r="D52" s="0" t="n">
        <v>47395.3</v>
      </c>
      <c r="E52" s="0" t="n">
        <v>39384.85</v>
      </c>
      <c r="F52" s="0" t="n">
        <v>43119.75</v>
      </c>
      <c r="G52" s="0" t="n">
        <v>48218.87</v>
      </c>
      <c r="H52" s="0" t="n">
        <v>39384.85</v>
      </c>
      <c r="I52" s="0" t="n">
        <v>43801.86</v>
      </c>
      <c r="J52" s="0" t="n">
        <v>43723.63</v>
      </c>
    </row>
    <row r="53">
      <c r="A53" s="0" t="inlineStr">
        <is>
          <t>26M08</t>
        </is>
      </c>
      <c r="B53" s="0" t="n">
        <v>21</v>
      </c>
      <c r="C53" s="0" t="n">
        <v>42780.42</v>
      </c>
      <c r="D53" s="0" t="n">
        <v>46574.52</v>
      </c>
      <c r="E53" s="0" t="n">
        <v>42780.42</v>
      </c>
      <c r="F53" s="0" t="n">
        <v>46128.47</v>
      </c>
      <c r="G53" s="0" t="n">
        <v>47395.3</v>
      </c>
      <c r="H53" s="0" t="n">
        <v>39384.85</v>
      </c>
      <c r="I53" s="0" t="n">
        <v>43390.075</v>
      </c>
      <c r="J53" s="0" t="n">
        <v>43801.86</v>
      </c>
    </row>
    <row r="54">
      <c r="A54" s="0" t="inlineStr">
        <is>
          <t>26M09</t>
        </is>
      </c>
      <c r="B54" s="0" t="n">
        <v>20</v>
      </c>
      <c r="C54" s="0" t="n">
        <v>46177.11</v>
      </c>
      <c r="D54" s="0" t="n">
        <v>48601.53</v>
      </c>
      <c r="E54" s="0" t="n">
        <v>45398.43</v>
      </c>
      <c r="F54" s="0" t="n">
        <v>47940.13</v>
      </c>
      <c r="G54" s="0" t="n">
        <v>48601.53</v>
      </c>
      <c r="H54" s="0" t="n">
        <v>42780.42</v>
      </c>
      <c r="I54" s="0" t="n">
        <v>45690.975</v>
      </c>
      <c r="J54" s="0" t="n">
        <v>43390.075</v>
      </c>
    </row>
    <row r="55">
      <c r="A55" s="0" t="inlineStr">
        <is>
          <t>26M10</t>
        </is>
      </c>
      <c r="B55" s="0" t="n">
        <v>7</v>
      </c>
      <c r="C55" s="0" t="n">
        <v>47961.98</v>
      </c>
      <c r="D55" s="0" t="n">
        <v>49968.92</v>
      </c>
      <c r="E55" s="0" t="n">
        <v>47893.42</v>
      </c>
      <c r="F55" s="0" t="n">
        <v>49301.96</v>
      </c>
      <c r="G55" s="0" t="n">
        <v>49968.92</v>
      </c>
      <c r="H55" s="0" t="n">
        <v>45398.43</v>
      </c>
      <c r="I55" s="0" t="n">
        <v>47683.675</v>
      </c>
      <c r="J55" s="0" t="n">
        <v>45690.975</v>
      </c>
    </row>
    <row r="56">
      <c r="J56" s="0" t="n">
        <v>47683.675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4"/>
  <sheetViews>
    <sheetView zoomScale="70" zoomScaleNormal="70" workbookViewId="0">
      <pane xSplit="1" ySplit="1" topLeftCell="B521" activePane="bottomRight" state="frozen"/>
      <selection pane="topRight" activeCell="B1" sqref="B1"/>
      <selection pane="bottomLeft" activeCell="A521" sqref="A521"/>
      <selection pane="bottomRight" activeCell="D527" sqref="D527"/>
    </sheetView>
  </sheetViews>
  <sheetFormatPr baseColWidth="8" defaultColWidth="9" defaultRowHeight="16.5"/>
  <cols>
    <col width="10.625" customWidth="1" style="22" min="1" max="1"/>
    <col width="9" customWidth="1" style="22" min="2" max="5"/>
    <col width="8.625" customWidth="1" style="22" min="6" max="6"/>
    <col width="8.25" customWidth="1" style="22" min="7" max="7"/>
    <col width="10.125" customWidth="1" style="22" min="8" max="10"/>
    <col width="25" customWidth="1" style="22" min="11" max="11"/>
    <col width="9" customWidth="1" style="22" min="12" max="13"/>
    <col width="10" customWidth="1" style="22" min="14" max="14"/>
    <col width="9" customWidth="1" style="22" min="15" max="256"/>
    <col width="10.625" customWidth="1" style="22" min="257" max="257"/>
    <col width="9" customWidth="1" style="22" min="258" max="261"/>
    <col width="8.625" customWidth="1" style="22" min="262" max="262"/>
    <col width="8.25" customWidth="1" style="22" min="263" max="263"/>
    <col width="10.125" customWidth="1" style="22" min="264" max="266"/>
    <col width="25" customWidth="1" style="22" min="267" max="267"/>
    <col width="9" customWidth="1" style="22" min="268" max="269"/>
    <col width="10" customWidth="1" style="22" min="270" max="270"/>
    <col width="9" customWidth="1" style="22" min="271" max="512"/>
    <col width="10.625" customWidth="1" style="22" min="513" max="513"/>
    <col width="9" customWidth="1" style="22" min="514" max="517"/>
    <col width="8.625" customWidth="1" style="22" min="518" max="518"/>
    <col width="8.25" customWidth="1" style="22" min="519" max="519"/>
    <col width="10.125" customWidth="1" style="22" min="520" max="522"/>
    <col width="25" customWidth="1" style="22" min="523" max="523"/>
    <col width="9" customWidth="1" style="22" min="524" max="525"/>
    <col width="10" customWidth="1" style="22" min="526" max="526"/>
    <col width="9" customWidth="1" style="22" min="527" max="768"/>
    <col width="10.625" customWidth="1" style="22" min="769" max="769"/>
    <col width="9" customWidth="1" style="22" min="770" max="773"/>
    <col width="8.625" customWidth="1" style="22" min="774" max="774"/>
    <col width="8.25" customWidth="1" style="22" min="775" max="775"/>
    <col width="10.125" customWidth="1" style="22" min="776" max="778"/>
    <col width="25" customWidth="1" style="22" min="779" max="779"/>
    <col width="9" customWidth="1" style="22" min="780" max="781"/>
    <col width="10" customWidth="1" style="22" min="782" max="782"/>
    <col width="9" customWidth="1" style="22" min="783" max="1024"/>
    <col width="10.625" customWidth="1" style="22" min="1025" max="1025"/>
    <col width="9" customWidth="1" style="22" min="1026" max="1029"/>
    <col width="8.625" customWidth="1" style="22" min="1030" max="1030"/>
    <col width="8.25" customWidth="1" style="22" min="1031" max="1031"/>
    <col width="10.125" customWidth="1" style="22" min="1032" max="1034"/>
    <col width="25" customWidth="1" style="22" min="1035" max="1035"/>
    <col width="9" customWidth="1" style="22" min="1036" max="1037"/>
    <col width="10" customWidth="1" style="22" min="1038" max="1038"/>
    <col width="9" customWidth="1" style="22" min="1039" max="1280"/>
    <col width="10.625" customWidth="1" style="22" min="1281" max="1281"/>
    <col width="9" customWidth="1" style="22" min="1282" max="1285"/>
    <col width="8.625" customWidth="1" style="22" min="1286" max="1286"/>
    <col width="8.25" customWidth="1" style="22" min="1287" max="1287"/>
    <col width="10.125" customWidth="1" style="22" min="1288" max="1290"/>
    <col width="25" customWidth="1" style="22" min="1291" max="1291"/>
    <col width="9" customWidth="1" style="22" min="1292" max="1293"/>
    <col width="10" customWidth="1" style="22" min="1294" max="1294"/>
    <col width="9" customWidth="1" style="22" min="1295" max="1536"/>
    <col width="10.625" customWidth="1" style="22" min="1537" max="1537"/>
    <col width="9" customWidth="1" style="22" min="1538" max="1541"/>
    <col width="8.625" customWidth="1" style="22" min="1542" max="1542"/>
    <col width="8.25" customWidth="1" style="22" min="1543" max="1543"/>
    <col width="10.125" customWidth="1" style="22" min="1544" max="1546"/>
    <col width="25" customWidth="1" style="22" min="1547" max="1547"/>
    <col width="9" customWidth="1" style="22" min="1548" max="1549"/>
    <col width="10" customWidth="1" style="22" min="1550" max="1550"/>
    <col width="9" customWidth="1" style="22" min="1551" max="1792"/>
    <col width="10.625" customWidth="1" style="22" min="1793" max="1793"/>
    <col width="9" customWidth="1" style="22" min="1794" max="1797"/>
    <col width="8.625" customWidth="1" style="22" min="1798" max="1798"/>
    <col width="8.25" customWidth="1" style="22" min="1799" max="1799"/>
    <col width="10.125" customWidth="1" style="22" min="1800" max="1802"/>
    <col width="25" customWidth="1" style="22" min="1803" max="1803"/>
    <col width="9" customWidth="1" style="22" min="1804" max="1805"/>
    <col width="10" customWidth="1" style="22" min="1806" max="1806"/>
    <col width="9" customWidth="1" style="22" min="1807" max="2048"/>
    <col width="10.625" customWidth="1" style="22" min="2049" max="2049"/>
    <col width="9" customWidth="1" style="22" min="2050" max="2053"/>
    <col width="8.625" customWidth="1" style="22" min="2054" max="2054"/>
    <col width="8.25" customWidth="1" style="22" min="2055" max="2055"/>
    <col width="10.125" customWidth="1" style="22" min="2056" max="2058"/>
    <col width="25" customWidth="1" style="22" min="2059" max="2059"/>
    <col width="9" customWidth="1" style="22" min="2060" max="2061"/>
    <col width="10" customWidth="1" style="22" min="2062" max="2062"/>
    <col width="9" customWidth="1" style="22" min="2063" max="2304"/>
    <col width="10.625" customWidth="1" style="22" min="2305" max="2305"/>
    <col width="9" customWidth="1" style="22" min="2306" max="2309"/>
    <col width="8.625" customWidth="1" style="22" min="2310" max="2310"/>
    <col width="8.25" customWidth="1" style="22" min="2311" max="2311"/>
    <col width="10.125" customWidth="1" style="22" min="2312" max="2314"/>
    <col width="25" customWidth="1" style="22" min="2315" max="2315"/>
    <col width="9" customWidth="1" style="22" min="2316" max="2317"/>
    <col width="10" customWidth="1" style="22" min="2318" max="2318"/>
    <col width="9" customWidth="1" style="22" min="2319" max="2560"/>
    <col width="10.625" customWidth="1" style="22" min="2561" max="2561"/>
    <col width="9" customWidth="1" style="22" min="2562" max="2565"/>
    <col width="8.625" customWidth="1" style="22" min="2566" max="2566"/>
    <col width="8.25" customWidth="1" style="22" min="2567" max="2567"/>
    <col width="10.125" customWidth="1" style="22" min="2568" max="2570"/>
    <col width="25" customWidth="1" style="22" min="2571" max="2571"/>
    <col width="9" customWidth="1" style="22" min="2572" max="2573"/>
    <col width="10" customWidth="1" style="22" min="2574" max="2574"/>
    <col width="9" customWidth="1" style="22" min="2575" max="2816"/>
    <col width="10.625" customWidth="1" style="22" min="2817" max="2817"/>
    <col width="9" customWidth="1" style="22" min="2818" max="2821"/>
    <col width="8.625" customWidth="1" style="22" min="2822" max="2822"/>
    <col width="8.25" customWidth="1" style="22" min="2823" max="2823"/>
    <col width="10.125" customWidth="1" style="22" min="2824" max="2826"/>
    <col width="25" customWidth="1" style="22" min="2827" max="2827"/>
    <col width="9" customWidth="1" style="22" min="2828" max="2829"/>
    <col width="10" customWidth="1" style="22" min="2830" max="2830"/>
    <col width="9" customWidth="1" style="22" min="2831" max="3072"/>
    <col width="10.625" customWidth="1" style="22" min="3073" max="3073"/>
    <col width="9" customWidth="1" style="22" min="3074" max="3077"/>
    <col width="8.625" customWidth="1" style="22" min="3078" max="3078"/>
    <col width="8.25" customWidth="1" style="22" min="3079" max="3079"/>
    <col width="10.125" customWidth="1" style="22" min="3080" max="3082"/>
    <col width="25" customWidth="1" style="22" min="3083" max="3083"/>
    <col width="9" customWidth="1" style="22" min="3084" max="3085"/>
    <col width="10" customWidth="1" style="22" min="3086" max="3086"/>
    <col width="9" customWidth="1" style="22" min="3087" max="3328"/>
    <col width="10.625" customWidth="1" style="22" min="3329" max="3329"/>
    <col width="9" customWidth="1" style="22" min="3330" max="3333"/>
    <col width="8.625" customWidth="1" style="22" min="3334" max="3334"/>
    <col width="8.25" customWidth="1" style="22" min="3335" max="3335"/>
    <col width="10.125" customWidth="1" style="22" min="3336" max="3338"/>
    <col width="25" customWidth="1" style="22" min="3339" max="3339"/>
    <col width="9" customWidth="1" style="22" min="3340" max="3341"/>
    <col width="10" customWidth="1" style="22" min="3342" max="3342"/>
    <col width="9" customWidth="1" style="22" min="3343" max="3584"/>
    <col width="10.625" customWidth="1" style="22" min="3585" max="3585"/>
    <col width="9" customWidth="1" style="22" min="3586" max="3589"/>
    <col width="8.625" customWidth="1" style="22" min="3590" max="3590"/>
    <col width="8.25" customWidth="1" style="22" min="3591" max="3591"/>
    <col width="10.125" customWidth="1" style="22" min="3592" max="3594"/>
    <col width="25" customWidth="1" style="22" min="3595" max="3595"/>
    <col width="9" customWidth="1" style="22" min="3596" max="3597"/>
    <col width="10" customWidth="1" style="22" min="3598" max="3598"/>
    <col width="9" customWidth="1" style="22" min="3599" max="3840"/>
    <col width="10.625" customWidth="1" style="22" min="3841" max="3841"/>
    <col width="9" customWidth="1" style="22" min="3842" max="3845"/>
    <col width="8.625" customWidth="1" style="22" min="3846" max="3846"/>
    <col width="8.25" customWidth="1" style="22" min="3847" max="3847"/>
    <col width="10.125" customWidth="1" style="22" min="3848" max="3850"/>
    <col width="25" customWidth="1" style="22" min="3851" max="3851"/>
    <col width="9" customWidth="1" style="22" min="3852" max="3853"/>
    <col width="10" customWidth="1" style="22" min="3854" max="3854"/>
    <col width="9" customWidth="1" style="22" min="3855" max="4096"/>
    <col width="10.625" customWidth="1" style="22" min="4097" max="4097"/>
    <col width="9" customWidth="1" style="22" min="4098" max="4101"/>
    <col width="8.625" customWidth="1" style="22" min="4102" max="4102"/>
    <col width="8.25" customWidth="1" style="22" min="4103" max="4103"/>
    <col width="10.125" customWidth="1" style="22" min="4104" max="4106"/>
    <col width="25" customWidth="1" style="22" min="4107" max="4107"/>
    <col width="9" customWidth="1" style="22" min="4108" max="4109"/>
    <col width="10" customWidth="1" style="22" min="4110" max="4110"/>
    <col width="9" customWidth="1" style="22" min="4111" max="4352"/>
    <col width="10.625" customWidth="1" style="22" min="4353" max="4353"/>
    <col width="9" customWidth="1" style="22" min="4354" max="4357"/>
    <col width="8.625" customWidth="1" style="22" min="4358" max="4358"/>
    <col width="8.25" customWidth="1" style="22" min="4359" max="4359"/>
    <col width="10.125" customWidth="1" style="22" min="4360" max="4362"/>
    <col width="25" customWidth="1" style="22" min="4363" max="4363"/>
    <col width="9" customWidth="1" style="22" min="4364" max="4365"/>
    <col width="10" customWidth="1" style="22" min="4366" max="4366"/>
    <col width="9" customWidth="1" style="22" min="4367" max="4608"/>
    <col width="10.625" customWidth="1" style="22" min="4609" max="4609"/>
    <col width="9" customWidth="1" style="22" min="4610" max="4613"/>
    <col width="8.625" customWidth="1" style="22" min="4614" max="4614"/>
    <col width="8.25" customWidth="1" style="22" min="4615" max="4615"/>
    <col width="10.125" customWidth="1" style="22" min="4616" max="4618"/>
    <col width="25" customWidth="1" style="22" min="4619" max="4619"/>
    <col width="9" customWidth="1" style="22" min="4620" max="4621"/>
    <col width="10" customWidth="1" style="22" min="4622" max="4622"/>
    <col width="9" customWidth="1" style="22" min="4623" max="4864"/>
    <col width="10.625" customWidth="1" style="22" min="4865" max="4865"/>
    <col width="9" customWidth="1" style="22" min="4866" max="4869"/>
    <col width="8.625" customWidth="1" style="22" min="4870" max="4870"/>
    <col width="8.25" customWidth="1" style="22" min="4871" max="4871"/>
    <col width="10.125" customWidth="1" style="22" min="4872" max="4874"/>
    <col width="25" customWidth="1" style="22" min="4875" max="4875"/>
    <col width="9" customWidth="1" style="22" min="4876" max="4877"/>
    <col width="10" customWidth="1" style="22" min="4878" max="4878"/>
    <col width="9" customWidth="1" style="22" min="4879" max="5120"/>
    <col width="10.625" customWidth="1" style="22" min="5121" max="5121"/>
    <col width="9" customWidth="1" style="22" min="5122" max="5125"/>
    <col width="8.625" customWidth="1" style="22" min="5126" max="5126"/>
    <col width="8.25" customWidth="1" style="22" min="5127" max="5127"/>
    <col width="10.125" customWidth="1" style="22" min="5128" max="5130"/>
    <col width="25" customWidth="1" style="22" min="5131" max="5131"/>
    <col width="9" customWidth="1" style="22" min="5132" max="5133"/>
    <col width="10" customWidth="1" style="22" min="5134" max="5134"/>
    <col width="9" customWidth="1" style="22" min="5135" max="5376"/>
    <col width="10.625" customWidth="1" style="22" min="5377" max="5377"/>
    <col width="9" customWidth="1" style="22" min="5378" max="5381"/>
    <col width="8.625" customWidth="1" style="22" min="5382" max="5382"/>
    <col width="8.25" customWidth="1" style="22" min="5383" max="5383"/>
    <col width="10.125" customWidth="1" style="22" min="5384" max="5386"/>
    <col width="25" customWidth="1" style="22" min="5387" max="5387"/>
    <col width="9" customWidth="1" style="22" min="5388" max="5389"/>
    <col width="10" customWidth="1" style="22" min="5390" max="5390"/>
    <col width="9" customWidth="1" style="22" min="5391" max="5632"/>
    <col width="10.625" customWidth="1" style="22" min="5633" max="5633"/>
    <col width="9" customWidth="1" style="22" min="5634" max="5637"/>
    <col width="8.625" customWidth="1" style="22" min="5638" max="5638"/>
    <col width="8.25" customWidth="1" style="22" min="5639" max="5639"/>
    <col width="10.125" customWidth="1" style="22" min="5640" max="5642"/>
    <col width="25" customWidth="1" style="22" min="5643" max="5643"/>
    <col width="9" customWidth="1" style="22" min="5644" max="5645"/>
    <col width="10" customWidth="1" style="22" min="5646" max="5646"/>
    <col width="9" customWidth="1" style="22" min="5647" max="5888"/>
    <col width="10.625" customWidth="1" style="22" min="5889" max="5889"/>
    <col width="9" customWidth="1" style="22" min="5890" max="5893"/>
    <col width="8.625" customWidth="1" style="22" min="5894" max="5894"/>
    <col width="8.25" customWidth="1" style="22" min="5895" max="5895"/>
    <col width="10.125" customWidth="1" style="22" min="5896" max="5898"/>
    <col width="25" customWidth="1" style="22" min="5899" max="5899"/>
    <col width="9" customWidth="1" style="22" min="5900" max="5901"/>
    <col width="10" customWidth="1" style="22" min="5902" max="5902"/>
    <col width="9" customWidth="1" style="22" min="5903" max="6144"/>
    <col width="10.625" customWidth="1" style="22" min="6145" max="6145"/>
    <col width="9" customWidth="1" style="22" min="6146" max="6149"/>
    <col width="8.625" customWidth="1" style="22" min="6150" max="6150"/>
    <col width="8.25" customWidth="1" style="22" min="6151" max="6151"/>
    <col width="10.125" customWidth="1" style="22" min="6152" max="6154"/>
    <col width="25" customWidth="1" style="22" min="6155" max="6155"/>
    <col width="9" customWidth="1" style="22" min="6156" max="6157"/>
    <col width="10" customWidth="1" style="22" min="6158" max="6158"/>
    <col width="9" customWidth="1" style="22" min="6159" max="6400"/>
    <col width="10.625" customWidth="1" style="22" min="6401" max="6401"/>
    <col width="9" customWidth="1" style="22" min="6402" max="6405"/>
    <col width="8.625" customWidth="1" style="22" min="6406" max="6406"/>
    <col width="8.25" customWidth="1" style="22" min="6407" max="6407"/>
    <col width="10.125" customWidth="1" style="22" min="6408" max="6410"/>
    <col width="25" customWidth="1" style="22" min="6411" max="6411"/>
    <col width="9" customWidth="1" style="22" min="6412" max="6413"/>
    <col width="10" customWidth="1" style="22" min="6414" max="6414"/>
    <col width="9" customWidth="1" style="22" min="6415" max="6656"/>
    <col width="10.625" customWidth="1" style="22" min="6657" max="6657"/>
    <col width="9" customWidth="1" style="22" min="6658" max="6661"/>
    <col width="8.625" customWidth="1" style="22" min="6662" max="6662"/>
    <col width="8.25" customWidth="1" style="22" min="6663" max="6663"/>
    <col width="10.125" customWidth="1" style="22" min="6664" max="6666"/>
    <col width="25" customWidth="1" style="22" min="6667" max="6667"/>
    <col width="9" customWidth="1" style="22" min="6668" max="6669"/>
    <col width="10" customWidth="1" style="22" min="6670" max="6670"/>
    <col width="9" customWidth="1" style="22" min="6671" max="6912"/>
    <col width="10.625" customWidth="1" style="22" min="6913" max="6913"/>
    <col width="9" customWidth="1" style="22" min="6914" max="6917"/>
    <col width="8.625" customWidth="1" style="22" min="6918" max="6918"/>
    <col width="8.25" customWidth="1" style="22" min="6919" max="6919"/>
    <col width="10.125" customWidth="1" style="22" min="6920" max="6922"/>
    <col width="25" customWidth="1" style="22" min="6923" max="6923"/>
    <col width="9" customWidth="1" style="22" min="6924" max="6925"/>
    <col width="10" customWidth="1" style="22" min="6926" max="6926"/>
    <col width="9" customWidth="1" style="22" min="6927" max="7168"/>
    <col width="10.625" customWidth="1" style="22" min="7169" max="7169"/>
    <col width="9" customWidth="1" style="22" min="7170" max="7173"/>
    <col width="8.625" customWidth="1" style="22" min="7174" max="7174"/>
    <col width="8.25" customWidth="1" style="22" min="7175" max="7175"/>
    <col width="10.125" customWidth="1" style="22" min="7176" max="7178"/>
    <col width="25" customWidth="1" style="22" min="7179" max="7179"/>
    <col width="9" customWidth="1" style="22" min="7180" max="7181"/>
    <col width="10" customWidth="1" style="22" min="7182" max="7182"/>
    <col width="9" customWidth="1" style="22" min="7183" max="7424"/>
    <col width="10.625" customWidth="1" style="22" min="7425" max="7425"/>
    <col width="9" customWidth="1" style="22" min="7426" max="7429"/>
    <col width="8.625" customWidth="1" style="22" min="7430" max="7430"/>
    <col width="8.25" customWidth="1" style="22" min="7431" max="7431"/>
    <col width="10.125" customWidth="1" style="22" min="7432" max="7434"/>
    <col width="25" customWidth="1" style="22" min="7435" max="7435"/>
    <col width="9" customWidth="1" style="22" min="7436" max="7437"/>
    <col width="10" customWidth="1" style="22" min="7438" max="7438"/>
    <col width="9" customWidth="1" style="22" min="7439" max="7680"/>
    <col width="10.625" customWidth="1" style="22" min="7681" max="7681"/>
    <col width="9" customWidth="1" style="22" min="7682" max="7685"/>
    <col width="8.625" customWidth="1" style="22" min="7686" max="7686"/>
    <col width="8.25" customWidth="1" style="22" min="7687" max="7687"/>
    <col width="10.125" customWidth="1" style="22" min="7688" max="7690"/>
    <col width="25" customWidth="1" style="22" min="7691" max="7691"/>
    <col width="9" customWidth="1" style="22" min="7692" max="7693"/>
    <col width="10" customWidth="1" style="22" min="7694" max="7694"/>
    <col width="9" customWidth="1" style="22" min="7695" max="7936"/>
    <col width="10.625" customWidth="1" style="22" min="7937" max="7937"/>
    <col width="9" customWidth="1" style="22" min="7938" max="7941"/>
    <col width="8.625" customWidth="1" style="22" min="7942" max="7942"/>
    <col width="8.25" customWidth="1" style="22" min="7943" max="7943"/>
    <col width="10.125" customWidth="1" style="22" min="7944" max="7946"/>
    <col width="25" customWidth="1" style="22" min="7947" max="7947"/>
    <col width="9" customWidth="1" style="22" min="7948" max="7949"/>
    <col width="10" customWidth="1" style="22" min="7950" max="7950"/>
    <col width="9" customWidth="1" style="22" min="7951" max="8192"/>
    <col width="10.625" customWidth="1" style="22" min="8193" max="8193"/>
    <col width="9" customWidth="1" style="22" min="8194" max="8197"/>
    <col width="8.625" customWidth="1" style="22" min="8198" max="8198"/>
    <col width="8.25" customWidth="1" style="22" min="8199" max="8199"/>
    <col width="10.125" customWidth="1" style="22" min="8200" max="8202"/>
    <col width="25" customWidth="1" style="22" min="8203" max="8203"/>
    <col width="9" customWidth="1" style="22" min="8204" max="8205"/>
    <col width="10" customWidth="1" style="22" min="8206" max="8206"/>
    <col width="9" customWidth="1" style="22" min="8207" max="8448"/>
    <col width="10.625" customWidth="1" style="22" min="8449" max="8449"/>
    <col width="9" customWidth="1" style="22" min="8450" max="8453"/>
    <col width="8.625" customWidth="1" style="22" min="8454" max="8454"/>
    <col width="8.25" customWidth="1" style="22" min="8455" max="8455"/>
    <col width="10.125" customWidth="1" style="22" min="8456" max="8458"/>
    <col width="25" customWidth="1" style="22" min="8459" max="8459"/>
    <col width="9" customWidth="1" style="22" min="8460" max="8461"/>
    <col width="10" customWidth="1" style="22" min="8462" max="8462"/>
    <col width="9" customWidth="1" style="22" min="8463" max="8704"/>
    <col width="10.625" customWidth="1" style="22" min="8705" max="8705"/>
    <col width="9" customWidth="1" style="22" min="8706" max="8709"/>
    <col width="8.625" customWidth="1" style="22" min="8710" max="8710"/>
    <col width="8.25" customWidth="1" style="22" min="8711" max="8711"/>
    <col width="10.125" customWidth="1" style="22" min="8712" max="8714"/>
    <col width="25" customWidth="1" style="22" min="8715" max="8715"/>
    <col width="9" customWidth="1" style="22" min="8716" max="8717"/>
    <col width="10" customWidth="1" style="22" min="8718" max="8718"/>
    <col width="9" customWidth="1" style="22" min="8719" max="8960"/>
    <col width="10.625" customWidth="1" style="22" min="8961" max="8961"/>
    <col width="9" customWidth="1" style="22" min="8962" max="8965"/>
    <col width="8.625" customWidth="1" style="22" min="8966" max="8966"/>
    <col width="8.25" customWidth="1" style="22" min="8967" max="8967"/>
    <col width="10.125" customWidth="1" style="22" min="8968" max="8970"/>
    <col width="25" customWidth="1" style="22" min="8971" max="8971"/>
    <col width="9" customWidth="1" style="22" min="8972" max="8973"/>
    <col width="10" customWidth="1" style="22" min="8974" max="8974"/>
    <col width="9" customWidth="1" style="22" min="8975" max="9216"/>
    <col width="10.625" customWidth="1" style="22" min="9217" max="9217"/>
    <col width="9" customWidth="1" style="22" min="9218" max="9221"/>
    <col width="8.625" customWidth="1" style="22" min="9222" max="9222"/>
    <col width="8.25" customWidth="1" style="22" min="9223" max="9223"/>
    <col width="10.125" customWidth="1" style="22" min="9224" max="9226"/>
    <col width="25" customWidth="1" style="22" min="9227" max="9227"/>
    <col width="9" customWidth="1" style="22" min="9228" max="9229"/>
    <col width="10" customWidth="1" style="22" min="9230" max="9230"/>
    <col width="9" customWidth="1" style="22" min="9231" max="9472"/>
    <col width="10.625" customWidth="1" style="22" min="9473" max="9473"/>
    <col width="9" customWidth="1" style="22" min="9474" max="9477"/>
    <col width="8.625" customWidth="1" style="22" min="9478" max="9478"/>
    <col width="8.25" customWidth="1" style="22" min="9479" max="9479"/>
    <col width="10.125" customWidth="1" style="22" min="9480" max="9482"/>
    <col width="25" customWidth="1" style="22" min="9483" max="9483"/>
    <col width="9" customWidth="1" style="22" min="9484" max="9485"/>
    <col width="10" customWidth="1" style="22" min="9486" max="9486"/>
    <col width="9" customWidth="1" style="22" min="9487" max="9728"/>
    <col width="10.625" customWidth="1" style="22" min="9729" max="9729"/>
    <col width="9" customWidth="1" style="22" min="9730" max="9733"/>
    <col width="8.625" customWidth="1" style="22" min="9734" max="9734"/>
    <col width="8.25" customWidth="1" style="22" min="9735" max="9735"/>
    <col width="10.125" customWidth="1" style="22" min="9736" max="9738"/>
    <col width="25" customWidth="1" style="22" min="9739" max="9739"/>
    <col width="9" customWidth="1" style="22" min="9740" max="9741"/>
    <col width="10" customWidth="1" style="22" min="9742" max="9742"/>
    <col width="9" customWidth="1" style="22" min="9743" max="9984"/>
    <col width="10.625" customWidth="1" style="22" min="9985" max="9985"/>
    <col width="9" customWidth="1" style="22" min="9986" max="9989"/>
    <col width="8.625" customWidth="1" style="22" min="9990" max="9990"/>
    <col width="8.25" customWidth="1" style="22" min="9991" max="9991"/>
    <col width="10.125" customWidth="1" style="22" min="9992" max="9994"/>
    <col width="25" customWidth="1" style="22" min="9995" max="9995"/>
    <col width="9" customWidth="1" style="22" min="9996" max="9997"/>
    <col width="10" customWidth="1" style="22" min="9998" max="9998"/>
    <col width="9" customWidth="1" style="22" min="9999" max="10240"/>
    <col width="10.625" customWidth="1" style="22" min="10241" max="10241"/>
    <col width="9" customWidth="1" style="22" min="10242" max="10245"/>
    <col width="8.625" customWidth="1" style="22" min="10246" max="10246"/>
    <col width="8.25" customWidth="1" style="22" min="10247" max="10247"/>
    <col width="10.125" customWidth="1" style="22" min="10248" max="10250"/>
    <col width="25" customWidth="1" style="22" min="10251" max="10251"/>
    <col width="9" customWidth="1" style="22" min="10252" max="10253"/>
    <col width="10" customWidth="1" style="22" min="10254" max="10254"/>
    <col width="9" customWidth="1" style="22" min="10255" max="10496"/>
    <col width="10.625" customWidth="1" style="22" min="10497" max="10497"/>
    <col width="9" customWidth="1" style="22" min="10498" max="10501"/>
    <col width="8.625" customWidth="1" style="22" min="10502" max="10502"/>
    <col width="8.25" customWidth="1" style="22" min="10503" max="10503"/>
    <col width="10.125" customWidth="1" style="22" min="10504" max="10506"/>
    <col width="25" customWidth="1" style="22" min="10507" max="10507"/>
    <col width="9" customWidth="1" style="22" min="10508" max="10509"/>
    <col width="10" customWidth="1" style="22" min="10510" max="10510"/>
    <col width="9" customWidth="1" style="22" min="10511" max="10752"/>
    <col width="10.625" customWidth="1" style="22" min="10753" max="10753"/>
    <col width="9" customWidth="1" style="22" min="10754" max="10757"/>
    <col width="8.625" customWidth="1" style="22" min="10758" max="10758"/>
    <col width="8.25" customWidth="1" style="22" min="10759" max="10759"/>
    <col width="10.125" customWidth="1" style="22" min="10760" max="10762"/>
    <col width="25" customWidth="1" style="22" min="10763" max="10763"/>
    <col width="9" customWidth="1" style="22" min="10764" max="10765"/>
    <col width="10" customWidth="1" style="22" min="10766" max="10766"/>
    <col width="9" customWidth="1" style="22" min="10767" max="11008"/>
    <col width="10.625" customWidth="1" style="22" min="11009" max="11009"/>
    <col width="9" customWidth="1" style="22" min="11010" max="11013"/>
    <col width="8.625" customWidth="1" style="22" min="11014" max="11014"/>
    <col width="8.25" customWidth="1" style="22" min="11015" max="11015"/>
    <col width="10.125" customWidth="1" style="22" min="11016" max="11018"/>
    <col width="25" customWidth="1" style="22" min="11019" max="11019"/>
    <col width="9" customWidth="1" style="22" min="11020" max="11021"/>
    <col width="10" customWidth="1" style="22" min="11022" max="11022"/>
    <col width="9" customWidth="1" style="22" min="11023" max="11264"/>
    <col width="10.625" customWidth="1" style="22" min="11265" max="11265"/>
    <col width="9" customWidth="1" style="22" min="11266" max="11269"/>
    <col width="8.625" customWidth="1" style="22" min="11270" max="11270"/>
    <col width="8.25" customWidth="1" style="22" min="11271" max="11271"/>
    <col width="10.125" customWidth="1" style="22" min="11272" max="11274"/>
    <col width="25" customWidth="1" style="22" min="11275" max="11275"/>
    <col width="9" customWidth="1" style="22" min="11276" max="11277"/>
    <col width="10" customWidth="1" style="22" min="11278" max="11278"/>
    <col width="9" customWidth="1" style="22" min="11279" max="11520"/>
    <col width="10.625" customWidth="1" style="22" min="11521" max="11521"/>
    <col width="9" customWidth="1" style="22" min="11522" max="11525"/>
    <col width="8.625" customWidth="1" style="22" min="11526" max="11526"/>
    <col width="8.25" customWidth="1" style="22" min="11527" max="11527"/>
    <col width="10.125" customWidth="1" style="22" min="11528" max="11530"/>
    <col width="25" customWidth="1" style="22" min="11531" max="11531"/>
    <col width="9" customWidth="1" style="22" min="11532" max="11533"/>
    <col width="10" customWidth="1" style="22" min="11534" max="11534"/>
    <col width="9" customWidth="1" style="22" min="11535" max="11776"/>
    <col width="10.625" customWidth="1" style="22" min="11777" max="11777"/>
    <col width="9" customWidth="1" style="22" min="11778" max="11781"/>
    <col width="8.625" customWidth="1" style="22" min="11782" max="11782"/>
    <col width="8.25" customWidth="1" style="22" min="11783" max="11783"/>
    <col width="10.125" customWidth="1" style="22" min="11784" max="11786"/>
    <col width="25" customWidth="1" style="22" min="11787" max="11787"/>
    <col width="9" customWidth="1" style="22" min="11788" max="11789"/>
    <col width="10" customWidth="1" style="22" min="11790" max="11790"/>
    <col width="9" customWidth="1" style="22" min="11791" max="12032"/>
    <col width="10.625" customWidth="1" style="22" min="12033" max="12033"/>
    <col width="9" customWidth="1" style="22" min="12034" max="12037"/>
    <col width="8.625" customWidth="1" style="22" min="12038" max="12038"/>
    <col width="8.25" customWidth="1" style="22" min="12039" max="12039"/>
    <col width="10.125" customWidth="1" style="22" min="12040" max="12042"/>
    <col width="25" customWidth="1" style="22" min="12043" max="12043"/>
    <col width="9" customWidth="1" style="22" min="12044" max="12045"/>
    <col width="10" customWidth="1" style="22" min="12046" max="12046"/>
    <col width="9" customWidth="1" style="22" min="12047" max="12288"/>
    <col width="10.625" customWidth="1" style="22" min="12289" max="12289"/>
    <col width="9" customWidth="1" style="22" min="12290" max="12293"/>
    <col width="8.625" customWidth="1" style="22" min="12294" max="12294"/>
    <col width="8.25" customWidth="1" style="22" min="12295" max="12295"/>
    <col width="10.125" customWidth="1" style="22" min="12296" max="12298"/>
    <col width="25" customWidth="1" style="22" min="12299" max="12299"/>
    <col width="9" customWidth="1" style="22" min="12300" max="12301"/>
    <col width="10" customWidth="1" style="22" min="12302" max="12302"/>
    <col width="9" customWidth="1" style="22" min="12303" max="12544"/>
    <col width="10.625" customWidth="1" style="22" min="12545" max="12545"/>
    <col width="9" customWidth="1" style="22" min="12546" max="12549"/>
    <col width="8.625" customWidth="1" style="22" min="12550" max="12550"/>
    <col width="8.25" customWidth="1" style="22" min="12551" max="12551"/>
    <col width="10.125" customWidth="1" style="22" min="12552" max="12554"/>
    <col width="25" customWidth="1" style="22" min="12555" max="12555"/>
    <col width="9" customWidth="1" style="22" min="12556" max="12557"/>
    <col width="10" customWidth="1" style="22" min="12558" max="12558"/>
    <col width="9" customWidth="1" style="22" min="12559" max="12800"/>
    <col width="10.625" customWidth="1" style="22" min="12801" max="12801"/>
    <col width="9" customWidth="1" style="22" min="12802" max="12805"/>
    <col width="8.625" customWidth="1" style="22" min="12806" max="12806"/>
    <col width="8.25" customWidth="1" style="22" min="12807" max="12807"/>
    <col width="10.125" customWidth="1" style="22" min="12808" max="12810"/>
    <col width="25" customWidth="1" style="22" min="12811" max="12811"/>
    <col width="9" customWidth="1" style="22" min="12812" max="12813"/>
    <col width="10" customWidth="1" style="22" min="12814" max="12814"/>
    <col width="9" customWidth="1" style="22" min="12815" max="13056"/>
    <col width="10.625" customWidth="1" style="22" min="13057" max="13057"/>
    <col width="9" customWidth="1" style="22" min="13058" max="13061"/>
    <col width="8.625" customWidth="1" style="22" min="13062" max="13062"/>
    <col width="8.25" customWidth="1" style="22" min="13063" max="13063"/>
    <col width="10.125" customWidth="1" style="22" min="13064" max="13066"/>
    <col width="25" customWidth="1" style="22" min="13067" max="13067"/>
    <col width="9" customWidth="1" style="22" min="13068" max="13069"/>
    <col width="10" customWidth="1" style="22" min="13070" max="13070"/>
    <col width="9" customWidth="1" style="22" min="13071" max="13312"/>
    <col width="10.625" customWidth="1" style="22" min="13313" max="13313"/>
    <col width="9" customWidth="1" style="22" min="13314" max="13317"/>
    <col width="8.625" customWidth="1" style="22" min="13318" max="13318"/>
    <col width="8.25" customWidth="1" style="22" min="13319" max="13319"/>
    <col width="10.125" customWidth="1" style="22" min="13320" max="13322"/>
    <col width="25" customWidth="1" style="22" min="13323" max="13323"/>
    <col width="9" customWidth="1" style="22" min="13324" max="13325"/>
    <col width="10" customWidth="1" style="22" min="13326" max="13326"/>
    <col width="9" customWidth="1" style="22" min="13327" max="13568"/>
    <col width="10.625" customWidth="1" style="22" min="13569" max="13569"/>
    <col width="9" customWidth="1" style="22" min="13570" max="13573"/>
    <col width="8.625" customWidth="1" style="22" min="13574" max="13574"/>
    <col width="8.25" customWidth="1" style="22" min="13575" max="13575"/>
    <col width="10.125" customWidth="1" style="22" min="13576" max="13578"/>
    <col width="25" customWidth="1" style="22" min="13579" max="13579"/>
    <col width="9" customWidth="1" style="22" min="13580" max="13581"/>
    <col width="10" customWidth="1" style="22" min="13582" max="13582"/>
    <col width="9" customWidth="1" style="22" min="13583" max="13824"/>
    <col width="10.625" customWidth="1" style="22" min="13825" max="13825"/>
    <col width="9" customWidth="1" style="22" min="13826" max="13829"/>
    <col width="8.625" customWidth="1" style="22" min="13830" max="13830"/>
    <col width="8.25" customWidth="1" style="22" min="13831" max="13831"/>
    <col width="10.125" customWidth="1" style="22" min="13832" max="13834"/>
    <col width="25" customWidth="1" style="22" min="13835" max="13835"/>
    <col width="9" customWidth="1" style="22" min="13836" max="13837"/>
    <col width="10" customWidth="1" style="22" min="13838" max="13838"/>
    <col width="9" customWidth="1" style="22" min="13839" max="14080"/>
    <col width="10.625" customWidth="1" style="22" min="14081" max="14081"/>
    <col width="9" customWidth="1" style="22" min="14082" max="14085"/>
    <col width="8.625" customWidth="1" style="22" min="14086" max="14086"/>
    <col width="8.25" customWidth="1" style="22" min="14087" max="14087"/>
    <col width="10.125" customWidth="1" style="22" min="14088" max="14090"/>
    <col width="25" customWidth="1" style="22" min="14091" max="14091"/>
    <col width="9" customWidth="1" style="22" min="14092" max="14093"/>
    <col width="10" customWidth="1" style="22" min="14094" max="14094"/>
    <col width="9" customWidth="1" style="22" min="14095" max="14336"/>
    <col width="10.625" customWidth="1" style="22" min="14337" max="14337"/>
    <col width="9" customWidth="1" style="22" min="14338" max="14341"/>
    <col width="8.625" customWidth="1" style="22" min="14342" max="14342"/>
    <col width="8.25" customWidth="1" style="22" min="14343" max="14343"/>
    <col width="10.125" customWidth="1" style="22" min="14344" max="14346"/>
    <col width="25" customWidth="1" style="22" min="14347" max="14347"/>
    <col width="9" customWidth="1" style="22" min="14348" max="14349"/>
    <col width="10" customWidth="1" style="22" min="14350" max="14350"/>
    <col width="9" customWidth="1" style="22" min="14351" max="14592"/>
    <col width="10.625" customWidth="1" style="22" min="14593" max="14593"/>
    <col width="9" customWidth="1" style="22" min="14594" max="14597"/>
    <col width="8.625" customWidth="1" style="22" min="14598" max="14598"/>
    <col width="8.25" customWidth="1" style="22" min="14599" max="14599"/>
    <col width="10.125" customWidth="1" style="22" min="14600" max="14602"/>
    <col width="25" customWidth="1" style="22" min="14603" max="14603"/>
    <col width="9" customWidth="1" style="22" min="14604" max="14605"/>
    <col width="10" customWidth="1" style="22" min="14606" max="14606"/>
    <col width="9" customWidth="1" style="22" min="14607" max="14848"/>
    <col width="10.625" customWidth="1" style="22" min="14849" max="14849"/>
    <col width="9" customWidth="1" style="22" min="14850" max="14853"/>
    <col width="8.625" customWidth="1" style="22" min="14854" max="14854"/>
    <col width="8.25" customWidth="1" style="22" min="14855" max="14855"/>
    <col width="10.125" customWidth="1" style="22" min="14856" max="14858"/>
    <col width="25" customWidth="1" style="22" min="14859" max="14859"/>
    <col width="9" customWidth="1" style="22" min="14860" max="14861"/>
    <col width="10" customWidth="1" style="22" min="14862" max="14862"/>
    <col width="9" customWidth="1" style="22" min="14863" max="15104"/>
    <col width="10.625" customWidth="1" style="22" min="15105" max="15105"/>
    <col width="9" customWidth="1" style="22" min="15106" max="15109"/>
    <col width="8.625" customWidth="1" style="22" min="15110" max="15110"/>
    <col width="8.25" customWidth="1" style="22" min="15111" max="15111"/>
    <col width="10.125" customWidth="1" style="22" min="15112" max="15114"/>
    <col width="25" customWidth="1" style="22" min="15115" max="15115"/>
    <col width="9" customWidth="1" style="22" min="15116" max="15117"/>
    <col width="10" customWidth="1" style="22" min="15118" max="15118"/>
    <col width="9" customWidth="1" style="22" min="15119" max="15360"/>
    <col width="10.625" customWidth="1" style="22" min="15361" max="15361"/>
    <col width="9" customWidth="1" style="22" min="15362" max="15365"/>
    <col width="8.625" customWidth="1" style="22" min="15366" max="15366"/>
    <col width="8.25" customWidth="1" style="22" min="15367" max="15367"/>
    <col width="10.125" customWidth="1" style="22" min="15368" max="15370"/>
    <col width="25" customWidth="1" style="22" min="15371" max="15371"/>
    <col width="9" customWidth="1" style="22" min="15372" max="15373"/>
    <col width="10" customWidth="1" style="22" min="15374" max="15374"/>
    <col width="9" customWidth="1" style="22" min="15375" max="15616"/>
    <col width="10.625" customWidth="1" style="22" min="15617" max="15617"/>
    <col width="9" customWidth="1" style="22" min="15618" max="15621"/>
    <col width="8.625" customWidth="1" style="22" min="15622" max="15622"/>
    <col width="8.25" customWidth="1" style="22" min="15623" max="15623"/>
    <col width="10.125" customWidth="1" style="22" min="15624" max="15626"/>
    <col width="25" customWidth="1" style="22" min="15627" max="15627"/>
    <col width="9" customWidth="1" style="22" min="15628" max="15629"/>
    <col width="10" customWidth="1" style="22" min="15630" max="15630"/>
    <col width="9" customWidth="1" style="22" min="15631" max="15872"/>
    <col width="10.625" customWidth="1" style="22" min="15873" max="15873"/>
    <col width="9" customWidth="1" style="22" min="15874" max="15877"/>
    <col width="8.625" customWidth="1" style="22" min="15878" max="15878"/>
    <col width="8.25" customWidth="1" style="22" min="15879" max="15879"/>
    <col width="10.125" customWidth="1" style="22" min="15880" max="15882"/>
    <col width="25" customWidth="1" style="22" min="15883" max="15883"/>
    <col width="9" customWidth="1" style="22" min="15884" max="15885"/>
    <col width="10" customWidth="1" style="22" min="15886" max="15886"/>
    <col width="9" customWidth="1" style="22" min="15887" max="16128"/>
    <col width="10.625" customWidth="1" style="22" min="16129" max="16129"/>
    <col width="9" customWidth="1" style="22" min="16130" max="16133"/>
    <col width="8.625" customWidth="1" style="22" min="16134" max="16134"/>
    <col width="8.25" customWidth="1" style="22" min="16135" max="16135"/>
    <col width="10.125" customWidth="1" style="22" min="16136" max="16138"/>
    <col width="25" customWidth="1" style="22" min="16139" max="16139"/>
    <col width="9" customWidth="1" style="22" min="16140" max="16141"/>
    <col width="10" customWidth="1" style="22" min="16142" max="16142"/>
    <col width="9" customWidth="1" style="22" min="16143" max="16384"/>
  </cols>
  <sheetData>
    <row r="1" ht="16.5" customHeight="1" s="56">
      <c r="A1" s="23" t="inlineStr">
        <is>
          <t>日期</t>
        </is>
      </c>
      <c r="B1" s="23" t="inlineStr">
        <is>
          <t>開盤</t>
        </is>
      </c>
      <c r="C1" s="23" t="inlineStr">
        <is>
          <t>最高</t>
        </is>
      </c>
      <c r="D1" s="23" t="inlineStr">
        <is>
          <t>最低</t>
        </is>
      </c>
      <c r="E1" s="23" t="inlineStr">
        <is>
          <t>收盤</t>
        </is>
      </c>
      <c r="F1" s="23" t="inlineStr">
        <is>
          <t>漲跌</t>
        </is>
      </c>
      <c r="G1" s="24" t="inlineStr">
        <is>
          <t>月轉折</t>
        </is>
      </c>
      <c r="H1" s="24" t="inlineStr">
        <is>
          <t>收盤-月轉折</t>
        </is>
      </c>
      <c r="I1" s="24" t="inlineStr">
        <is>
          <t>保護傘</t>
        </is>
      </c>
      <c r="J1" s="24" t="inlineStr">
        <is>
          <t>兩日保護傘</t>
        </is>
      </c>
      <c r="K1" s="25" t="inlineStr">
        <is>
          <t>動作</t>
        </is>
      </c>
      <c r="L1" s="25" t="inlineStr">
        <is>
          <t>買</t>
        </is>
      </c>
      <c r="M1" s="25" t="inlineStr">
        <is>
          <t>賣</t>
        </is>
      </c>
      <c r="N1" s="25" t="inlineStr">
        <is>
          <t>獲利點數</t>
        </is>
      </c>
    </row>
    <row r="2" ht="16.5" customHeight="1" s="56">
      <c r="A2" s="57" t="n">
        <v>45293</v>
      </c>
      <c r="B2" s="27" t="n">
        <v>17939.79</v>
      </c>
      <c r="C2" s="27" t="n">
        <v>17956.74</v>
      </c>
      <c r="D2" s="28" t="n">
        <v>17784.97</v>
      </c>
      <c r="E2" s="28" t="n">
        <v>17853.76</v>
      </c>
      <c r="F2" s="28" t="n">
        <v>-77.05</v>
      </c>
      <c r="G2" s="29" t="n">
        <v>16961.98</v>
      </c>
      <c r="H2" s="24" t="n"/>
      <c r="I2" s="24" t="n"/>
      <c r="J2" s="24" t="n"/>
      <c r="K2" s="25" t="n"/>
      <c r="L2" s="25" t="n"/>
      <c r="M2" s="25" t="n"/>
      <c r="N2" s="25" t="n"/>
    </row>
    <row r="3" ht="16.5" customHeight="1" s="56">
      <c r="A3" s="58" t="n">
        <v>45294</v>
      </c>
      <c r="B3" s="31" t="n">
        <v>17829.28</v>
      </c>
      <c r="C3" s="31" t="n">
        <v>17829.28</v>
      </c>
      <c r="D3" s="31" t="n">
        <v>17518.19</v>
      </c>
      <c r="E3" s="31" t="n">
        <v>17559.31</v>
      </c>
      <c r="F3" s="31" t="n">
        <v>-294.45</v>
      </c>
      <c r="G3" s="29" t="n">
        <v>16961.98</v>
      </c>
      <c r="H3" s="24" t="n"/>
      <c r="I3" s="24" t="n"/>
      <c r="J3" s="24" t="n"/>
      <c r="K3" s="25" t="n"/>
      <c r="L3" s="25" t="n"/>
      <c r="M3" s="25" t="n"/>
      <c r="N3" s="25" t="n"/>
    </row>
    <row r="4" ht="16.5" customHeight="1" s="56">
      <c r="A4" s="57" t="n">
        <v>45295</v>
      </c>
      <c r="B4" s="27" t="n">
        <v>17574.39</v>
      </c>
      <c r="C4" s="27" t="n">
        <v>17609.89</v>
      </c>
      <c r="D4" s="28" t="n">
        <v>17515.73</v>
      </c>
      <c r="E4" s="28" t="n">
        <v>17549.65</v>
      </c>
      <c r="F4" s="28" t="n">
        <v>-9.66</v>
      </c>
      <c r="G4" s="29" t="n">
        <v>16961.98</v>
      </c>
      <c r="H4" s="24" t="n"/>
      <c r="I4" s="24" t="n"/>
      <c r="J4" s="24" t="n"/>
      <c r="K4" s="25" t="n"/>
      <c r="L4" s="25" t="n"/>
      <c r="M4" s="25" t="n"/>
      <c r="N4" s="25" t="n"/>
    </row>
    <row r="5" ht="16.5" customHeight="1" s="56">
      <c r="A5" s="58" t="n">
        <v>45296</v>
      </c>
      <c r="B5" s="32" t="n">
        <v>17559.4</v>
      </c>
      <c r="C5" s="32" t="n">
        <v>17606.79</v>
      </c>
      <c r="D5" s="31" t="n">
        <v>17495.39</v>
      </c>
      <c r="E5" s="31" t="n">
        <v>17519.14</v>
      </c>
      <c r="F5" s="31" t="n">
        <v>-30.51</v>
      </c>
      <c r="G5" s="29" t="n">
        <v>16961.98</v>
      </c>
      <c r="H5" s="24" t="n"/>
      <c r="I5" s="24" t="n"/>
      <c r="J5" s="24" t="n"/>
      <c r="K5" s="25" t="n"/>
      <c r="L5" s="25" t="n"/>
      <c r="M5" s="25" t="n"/>
      <c r="N5" s="25" t="n"/>
    </row>
    <row r="6" ht="16.5" customHeight="1" s="56">
      <c r="A6" s="57" t="n">
        <v>45299</v>
      </c>
      <c r="B6" s="27" t="n">
        <v>17534.52</v>
      </c>
      <c r="C6" s="27" t="n">
        <v>17688.11</v>
      </c>
      <c r="D6" s="27" t="n">
        <v>17534.52</v>
      </c>
      <c r="E6" s="27" t="n">
        <v>17572.66</v>
      </c>
      <c r="F6" s="27" t="n">
        <v>53.52</v>
      </c>
      <c r="G6" s="29" t="n">
        <v>16961.98</v>
      </c>
      <c r="H6" s="24" t="n"/>
      <c r="I6" s="24" t="n"/>
      <c r="J6" s="24" t="n"/>
      <c r="K6" s="25" t="n"/>
      <c r="L6" s="25" t="n"/>
      <c r="M6" s="25" t="n"/>
      <c r="N6" s="25" t="n"/>
    </row>
    <row r="7" ht="16.5" customHeight="1" s="56">
      <c r="A7" s="58" t="n">
        <v>45300</v>
      </c>
      <c r="B7" s="32" t="n">
        <v>17585.4</v>
      </c>
      <c r="C7" s="32" t="n">
        <v>17694.26</v>
      </c>
      <c r="D7" s="31" t="n">
        <v>17517.55</v>
      </c>
      <c r="E7" s="31" t="n">
        <v>17535.49</v>
      </c>
      <c r="F7" s="31" t="n">
        <v>-37.17</v>
      </c>
      <c r="G7" s="29" t="n">
        <v>16961.98</v>
      </c>
      <c r="H7" s="24" t="n"/>
      <c r="I7" s="24" t="n"/>
      <c r="J7" s="24" t="n"/>
      <c r="K7" s="25" t="n"/>
      <c r="L7" s="25" t="n"/>
      <c r="M7" s="25" t="n"/>
      <c r="N7" s="25" t="n"/>
    </row>
    <row r="8" ht="16.5" customHeight="1" s="56">
      <c r="A8" s="57" t="n">
        <v>45301</v>
      </c>
      <c r="B8" s="28" t="n">
        <v>17495.67</v>
      </c>
      <c r="C8" s="28" t="n">
        <v>17499.43</v>
      </c>
      <c r="D8" s="28" t="n">
        <v>17439.27</v>
      </c>
      <c r="E8" s="28" t="n">
        <v>17465.63</v>
      </c>
      <c r="F8" s="28" t="n">
        <v>-69.86</v>
      </c>
      <c r="G8" s="29" t="n">
        <v>16961.98</v>
      </c>
      <c r="H8" s="24" t="n"/>
      <c r="I8" s="24" t="n"/>
      <c r="J8" s="24" t="n"/>
      <c r="K8" s="25" t="n"/>
      <c r="L8" s="25" t="n"/>
      <c r="M8" s="25" t="n"/>
      <c r="N8" s="25" t="n"/>
    </row>
    <row r="9" ht="16.5" customHeight="1" s="56">
      <c r="A9" s="58" t="n">
        <v>45302</v>
      </c>
      <c r="B9" s="32" t="n">
        <v>17477.88</v>
      </c>
      <c r="C9" s="32" t="n">
        <v>17574.92</v>
      </c>
      <c r="D9" s="32" t="n">
        <v>17476.87</v>
      </c>
      <c r="E9" s="32" t="n">
        <v>17545.32</v>
      </c>
      <c r="F9" s="32" t="n">
        <v>79.69</v>
      </c>
      <c r="G9" s="29" t="n">
        <v>16961.98</v>
      </c>
      <c r="H9" s="24" t="n"/>
      <c r="I9" s="24" t="n"/>
      <c r="J9" s="24" t="n"/>
      <c r="K9" s="25" t="n"/>
      <c r="L9" s="25" t="n"/>
      <c r="M9" s="25" t="n"/>
      <c r="N9" s="25" t="n"/>
    </row>
    <row r="10" ht="16.5" customHeight="1" s="56">
      <c r="A10" s="57" t="n">
        <v>45303</v>
      </c>
      <c r="B10" s="28" t="n">
        <v>17536.05</v>
      </c>
      <c r="C10" s="27" t="n">
        <v>17570.63</v>
      </c>
      <c r="D10" s="28" t="n">
        <v>17469.87</v>
      </c>
      <c r="E10" s="28" t="n">
        <v>17512.83</v>
      </c>
      <c r="F10" s="28" t="n">
        <v>-32.49</v>
      </c>
      <c r="G10" s="29" t="n">
        <v>16961.98</v>
      </c>
      <c r="H10" s="24" t="n"/>
      <c r="I10" s="24" t="n"/>
      <c r="J10" s="24" t="n"/>
      <c r="K10" s="25" t="n"/>
      <c r="L10" s="25" t="n"/>
      <c r="M10" s="25" t="n"/>
      <c r="N10" s="25" t="n"/>
    </row>
    <row r="11" ht="16.5" customHeight="1" s="56">
      <c r="A11" s="58" t="n">
        <v>45306</v>
      </c>
      <c r="B11" s="32" t="n">
        <v>17541.26</v>
      </c>
      <c r="C11" s="32" t="n">
        <v>17632.77</v>
      </c>
      <c r="D11" s="32" t="n">
        <v>17532.98</v>
      </c>
      <c r="E11" s="32" t="n">
        <v>17546.82</v>
      </c>
      <c r="F11" s="32" t="n">
        <v>33.99</v>
      </c>
      <c r="G11" s="29" t="n">
        <v>16961.98</v>
      </c>
      <c r="H11" s="24" t="n"/>
      <c r="I11" s="24" t="n"/>
      <c r="J11" s="24" t="n"/>
      <c r="K11" s="25" t="n"/>
      <c r="L11" s="25" t="n"/>
      <c r="M11" s="25" t="n"/>
      <c r="N11" s="25" t="n"/>
    </row>
    <row r="12" ht="16.5" customHeight="1" s="56">
      <c r="A12" s="57" t="n">
        <v>45307</v>
      </c>
      <c r="B12" s="28" t="n">
        <v>17523.78</v>
      </c>
      <c r="C12" s="28" t="n">
        <v>17523.78</v>
      </c>
      <c r="D12" s="28" t="n">
        <v>17337.58</v>
      </c>
      <c r="E12" s="28" t="n">
        <v>17346.87</v>
      </c>
      <c r="F12" s="28" t="n">
        <v>-199.95</v>
      </c>
      <c r="G12" s="29" t="n">
        <v>16961.98</v>
      </c>
      <c r="H12" s="24" t="n"/>
      <c r="I12" s="24" t="n"/>
      <c r="J12" s="24" t="n"/>
      <c r="K12" s="25" t="n"/>
      <c r="L12" s="25" t="n"/>
      <c r="M12" s="25" t="n"/>
      <c r="N12" s="25" t="n"/>
    </row>
    <row r="13" ht="16.5" customHeight="1" s="56">
      <c r="A13" s="58" t="n">
        <v>45308</v>
      </c>
      <c r="B13" s="31" t="n">
        <v>17341.58</v>
      </c>
      <c r="C13" s="32" t="n">
        <v>17361.05</v>
      </c>
      <c r="D13" s="31" t="n">
        <v>17151.58</v>
      </c>
      <c r="E13" s="31" t="n">
        <v>17161.79</v>
      </c>
      <c r="F13" s="31" t="n">
        <v>-185.08</v>
      </c>
      <c r="G13" s="29" t="n">
        <v>16961.98</v>
      </c>
      <c r="H13" s="24" t="n"/>
      <c r="I13" s="24" t="n"/>
      <c r="J13" s="24" t="n"/>
      <c r="K13" s="25" t="n"/>
      <c r="L13" s="25" t="n"/>
      <c r="M13" s="25" t="n"/>
      <c r="N13" s="25" t="n"/>
    </row>
    <row r="14" ht="16.5" customHeight="1" s="56">
      <c r="A14" s="57" t="n">
        <v>45309</v>
      </c>
      <c r="B14" s="27" t="n">
        <v>17169.1</v>
      </c>
      <c r="C14" s="27" t="n">
        <v>17300.29</v>
      </c>
      <c r="D14" s="27" t="n">
        <v>17169.1</v>
      </c>
      <c r="E14" s="27" t="n">
        <v>17227.79</v>
      </c>
      <c r="F14" s="27" t="n">
        <v>66</v>
      </c>
      <c r="G14" s="29" t="n">
        <v>16961.98</v>
      </c>
      <c r="H14" s="24" t="n"/>
      <c r="I14" s="24" t="n"/>
      <c r="J14" s="24" t="n"/>
      <c r="K14" s="25" t="n"/>
      <c r="L14" s="25" t="n"/>
      <c r="M14" s="25" t="n"/>
      <c r="N14" s="25" t="n"/>
    </row>
    <row r="15" ht="16.5" customHeight="1" s="56">
      <c r="A15" s="58" t="n">
        <v>45310</v>
      </c>
      <c r="B15" s="32" t="n">
        <v>17546.51</v>
      </c>
      <c r="C15" s="32" t="n">
        <v>17682.97</v>
      </c>
      <c r="D15" s="32" t="n">
        <v>17499.85</v>
      </c>
      <c r="E15" s="32" t="n">
        <v>17681.52</v>
      </c>
      <c r="F15" s="32" t="n">
        <v>453.73</v>
      </c>
      <c r="G15" s="29" t="n">
        <v>16961.98</v>
      </c>
      <c r="H15" s="24" t="n"/>
      <c r="I15" s="24" t="n"/>
      <c r="J15" s="24" t="n"/>
      <c r="K15" s="25" t="n"/>
      <c r="L15" s="25" t="n"/>
      <c r="M15" s="25" t="n"/>
      <c r="N15" s="25" t="n"/>
    </row>
    <row r="16" ht="16.5" customHeight="1" s="56">
      <c r="A16" s="57" t="n">
        <v>45313</v>
      </c>
      <c r="B16" s="27" t="n">
        <v>17770.78</v>
      </c>
      <c r="C16" s="27" t="n">
        <v>17869.07</v>
      </c>
      <c r="D16" s="27" t="n">
        <v>17765.13</v>
      </c>
      <c r="E16" s="27" t="n">
        <v>17815.1</v>
      </c>
      <c r="F16" s="27" t="n">
        <v>133.58</v>
      </c>
      <c r="G16" s="29" t="n">
        <v>16961.98</v>
      </c>
      <c r="H16" s="24" t="n"/>
      <c r="I16" s="24" t="n"/>
      <c r="J16" s="24" t="n"/>
      <c r="K16" s="25" t="n"/>
      <c r="L16" s="25" t="n"/>
      <c r="M16" s="25" t="n"/>
      <c r="N16" s="25" t="n"/>
    </row>
    <row r="17" ht="16.5" customHeight="1" s="56">
      <c r="A17" s="58" t="n">
        <v>45314</v>
      </c>
      <c r="B17" s="32" t="n">
        <v>17840.28</v>
      </c>
      <c r="C17" s="32" t="n">
        <v>17893.73</v>
      </c>
      <c r="D17" s="31" t="n">
        <v>17801.89</v>
      </c>
      <c r="E17" s="32" t="n">
        <v>17874.59</v>
      </c>
      <c r="F17" s="32" t="n">
        <v>59.49</v>
      </c>
      <c r="G17" s="29" t="n">
        <v>16961.98</v>
      </c>
      <c r="H17" s="24" t="n"/>
      <c r="I17" s="24" t="n"/>
      <c r="J17" s="24" t="n"/>
      <c r="K17" s="25" t="n"/>
      <c r="L17" s="25" t="n"/>
      <c r="M17" s="25" t="n"/>
      <c r="N17" s="25" t="n"/>
    </row>
    <row r="18" ht="16.5" customHeight="1" s="56">
      <c r="A18" s="57" t="n">
        <v>45315</v>
      </c>
      <c r="B18" s="27" t="n">
        <v>17883.62</v>
      </c>
      <c r="C18" s="27" t="n">
        <v>17944.98</v>
      </c>
      <c r="D18" s="28" t="n">
        <v>17856.34</v>
      </c>
      <c r="E18" s="27" t="n">
        <v>17875.83</v>
      </c>
      <c r="F18" s="27" t="n">
        <v>1.24</v>
      </c>
      <c r="G18" s="29" t="n">
        <v>16961.98</v>
      </c>
      <c r="H18" s="24" t="n"/>
      <c r="I18" s="24" t="n"/>
      <c r="J18" s="24" t="n"/>
      <c r="K18" s="25" t="n"/>
      <c r="L18" s="25" t="n"/>
      <c r="M18" s="25" t="n"/>
      <c r="N18" s="25" t="n"/>
    </row>
    <row r="19" ht="16.5" customHeight="1" s="56">
      <c r="A19" s="58" t="n">
        <v>45316</v>
      </c>
      <c r="B19" s="32" t="n">
        <v>17894.83</v>
      </c>
      <c r="C19" s="32" t="n">
        <v>18014.26</v>
      </c>
      <c r="D19" s="32" t="n">
        <v>17894.83</v>
      </c>
      <c r="E19" s="32" t="n">
        <v>18002.62</v>
      </c>
      <c r="F19" s="32" t="n">
        <v>126.79</v>
      </c>
      <c r="G19" s="29" t="n">
        <v>16961.98</v>
      </c>
      <c r="H19" s="24" t="n"/>
      <c r="I19" s="24" t="n"/>
      <c r="J19" s="24" t="n"/>
      <c r="K19" s="25" t="n"/>
      <c r="L19" s="25" t="n"/>
      <c r="M19" s="25" t="n"/>
      <c r="N19" s="25" t="n"/>
    </row>
    <row r="20" ht="16.5" customHeight="1" s="56">
      <c r="A20" s="57" t="n">
        <v>45317</v>
      </c>
      <c r="B20" s="28" t="n">
        <v>17985.44</v>
      </c>
      <c r="C20" s="27" t="n">
        <v>18029.85</v>
      </c>
      <c r="D20" s="28" t="n">
        <v>17943.65</v>
      </c>
      <c r="E20" s="28" t="n">
        <v>17995.03</v>
      </c>
      <c r="F20" s="28" t="n">
        <v>-7.59</v>
      </c>
      <c r="G20" s="29" t="n">
        <v>16961.98</v>
      </c>
      <c r="H20" s="24" t="n"/>
      <c r="I20" s="24" t="n"/>
      <c r="J20" s="24" t="n"/>
      <c r="K20" s="25" t="n"/>
      <c r="L20" s="25" t="n"/>
      <c r="M20" s="25" t="n"/>
      <c r="N20" s="25" t="n"/>
    </row>
    <row r="21" ht="16.5" customHeight="1" s="56">
      <c r="A21" s="58" t="n">
        <v>45320</v>
      </c>
      <c r="B21" s="32" t="n">
        <v>18001.24</v>
      </c>
      <c r="C21" s="32" t="n">
        <v>18119.63</v>
      </c>
      <c r="D21" s="32" t="n">
        <v>17995.11</v>
      </c>
      <c r="E21" s="32" t="n">
        <v>18119.63</v>
      </c>
      <c r="F21" s="32" t="n">
        <v>124.6</v>
      </c>
      <c r="G21" s="29" t="n">
        <v>16961.98</v>
      </c>
      <c r="H21" s="24" t="n"/>
      <c r="I21" s="24" t="n"/>
      <c r="J21" s="24" t="n"/>
      <c r="K21" s="25" t="n"/>
      <c r="L21" s="25" t="n"/>
      <c r="M21" s="25" t="n"/>
      <c r="N21" s="25" t="n"/>
    </row>
    <row r="22" ht="16.5" customHeight="1" s="56">
      <c r="A22" s="57" t="n">
        <v>45321</v>
      </c>
      <c r="B22" s="28" t="n">
        <v>18083.45</v>
      </c>
      <c r="C22" s="27" t="n">
        <v>18138.74</v>
      </c>
      <c r="D22" s="28" t="n">
        <v>18034.63</v>
      </c>
      <c r="E22" s="28" t="n">
        <v>18034.63</v>
      </c>
      <c r="F22" s="28" t="n">
        <v>-85</v>
      </c>
      <c r="G22" s="29" t="n">
        <v>16961.98</v>
      </c>
      <c r="H22" s="24" t="n"/>
      <c r="I22" s="24" t="n"/>
      <c r="J22" s="24" t="n"/>
      <c r="K22" s="25" t="n"/>
      <c r="L22" s="25" t="n"/>
      <c r="M22" s="25" t="n"/>
      <c r="N22" s="25" t="n"/>
    </row>
    <row r="23" ht="16.5" customHeight="1" s="56">
      <c r="A23" s="58" t="n">
        <v>45322</v>
      </c>
      <c r="B23" s="31" t="n">
        <v>17970.41</v>
      </c>
      <c r="C23" s="31" t="n">
        <v>17996.33</v>
      </c>
      <c r="D23" s="31" t="n">
        <v>17874.95</v>
      </c>
      <c r="E23" s="31" t="n">
        <v>17889.56</v>
      </c>
      <c r="F23" s="31" t="n">
        <v>-145.07</v>
      </c>
      <c r="G23" s="29" t="n">
        <v>16961.98</v>
      </c>
      <c r="H23" s="24" t="n"/>
      <c r="I23" s="24" t="n"/>
      <c r="J23" s="24" t="n"/>
      <c r="K23" s="25" t="n"/>
      <c r="L23" s="25" t="n"/>
      <c r="M23" s="25" t="n"/>
      <c r="N23" s="25" t="n"/>
    </row>
    <row r="24" ht="16.5" customHeight="1" s="56">
      <c r="A24" s="57" t="n">
        <v>45323</v>
      </c>
      <c r="B24" s="28" t="n">
        <v>17871.27</v>
      </c>
      <c r="C24" s="27" t="n">
        <v>17968.11</v>
      </c>
      <c r="D24" s="28" t="n">
        <v>17832.95</v>
      </c>
      <c r="E24" s="27" t="n">
        <v>17968.11</v>
      </c>
      <c r="F24" s="27" t="n">
        <v>78.55</v>
      </c>
      <c r="G24" s="33" t="n">
        <v>17645.16</v>
      </c>
      <c r="H24" s="24" t="n"/>
      <c r="I24" s="24" t="n"/>
      <c r="J24" s="24" t="n"/>
      <c r="K24" s="25" t="n"/>
      <c r="L24" s="25" t="n"/>
      <c r="M24" s="25" t="n"/>
      <c r="N24" s="25" t="n"/>
    </row>
    <row r="25" ht="16.5" customHeight="1" s="56">
      <c r="A25" s="58" t="n">
        <v>45324</v>
      </c>
      <c r="B25" s="32" t="n">
        <v>18016.35</v>
      </c>
      <c r="C25" s="32" t="n">
        <v>18059.93</v>
      </c>
      <c r="D25" s="32" t="n">
        <v>17985.89</v>
      </c>
      <c r="E25" s="32" t="n">
        <v>18059.93</v>
      </c>
      <c r="F25" s="32" t="n">
        <v>91.81999999999999</v>
      </c>
      <c r="G25" s="33" t="n">
        <v>17645.16</v>
      </c>
      <c r="H25" s="24" t="n"/>
      <c r="I25" s="24" t="n"/>
      <c r="J25" s="24" t="n"/>
      <c r="K25" s="25" t="n"/>
      <c r="L25" s="25" t="n"/>
      <c r="M25" s="25" t="n"/>
      <c r="N25" s="25" t="n"/>
    </row>
    <row r="26" ht="16.5" customHeight="1" s="56">
      <c r="A26" s="57" t="n">
        <v>45327</v>
      </c>
      <c r="B26" s="28" t="n">
        <v>18047.4</v>
      </c>
      <c r="C26" s="27" t="n">
        <v>18115.8</v>
      </c>
      <c r="D26" s="28" t="n">
        <v>17992.17</v>
      </c>
      <c r="E26" s="27" t="n">
        <v>18096.07</v>
      </c>
      <c r="F26" s="27" t="n">
        <v>36.14</v>
      </c>
      <c r="G26" s="33" t="n">
        <v>17645.16</v>
      </c>
      <c r="H26" s="24" t="n"/>
      <c r="I26" s="24" t="n"/>
      <c r="J26" s="24" t="n"/>
      <c r="K26" s="25" t="n"/>
      <c r="L26" s="25" t="n"/>
      <c r="M26" s="25" t="n"/>
      <c r="N26" s="25" t="n"/>
    </row>
    <row r="27" ht="16.5" customHeight="1" s="56">
      <c r="A27" s="58" t="n">
        <v>45337</v>
      </c>
      <c r="B27" s="32" t="n">
        <v>18664.45</v>
      </c>
      <c r="C27" s="32" t="n">
        <v>18725.47</v>
      </c>
      <c r="D27" s="32" t="n">
        <v>18550.86</v>
      </c>
      <c r="E27" s="32" t="n">
        <v>18644.57</v>
      </c>
      <c r="F27" s="32" t="n">
        <v>548.5</v>
      </c>
      <c r="G27" s="33" t="n">
        <v>17645.16</v>
      </c>
      <c r="H27" s="24" t="n"/>
      <c r="I27" s="24" t="n"/>
      <c r="J27" s="24" t="n"/>
      <c r="K27" s="25" t="n"/>
      <c r="L27" s="25" t="n"/>
      <c r="M27" s="25" t="n"/>
      <c r="N27" s="25" t="n"/>
    </row>
    <row r="28" ht="16.5" customHeight="1" s="56">
      <c r="A28" s="57" t="n">
        <v>45338</v>
      </c>
      <c r="B28" s="28" t="n">
        <v>18639.66</v>
      </c>
      <c r="C28" s="27" t="n">
        <v>18715.69</v>
      </c>
      <c r="D28" s="28" t="n">
        <v>18585.14</v>
      </c>
      <c r="E28" s="28" t="n">
        <v>18607.25</v>
      </c>
      <c r="F28" s="28" t="n">
        <v>-37.32</v>
      </c>
      <c r="G28" s="33" t="n">
        <v>17645.16</v>
      </c>
      <c r="H28" s="24" t="n"/>
      <c r="I28" s="24" t="n"/>
      <c r="J28" s="24" t="n"/>
      <c r="K28" s="25" t="n"/>
      <c r="L28" s="25" t="n"/>
      <c r="M28" s="25" t="n"/>
      <c r="N28" s="25" t="n"/>
    </row>
    <row r="29" ht="16.5" customHeight="1" s="56">
      <c r="A29" s="58" t="n">
        <v>45341</v>
      </c>
      <c r="B29" s="31" t="n">
        <v>18561.04</v>
      </c>
      <c r="C29" s="32" t="n">
        <v>18663.74</v>
      </c>
      <c r="D29" s="31" t="n">
        <v>18561.04</v>
      </c>
      <c r="E29" s="32" t="n">
        <v>18635.8</v>
      </c>
      <c r="F29" s="32" t="n">
        <v>28.55</v>
      </c>
      <c r="G29" s="33" t="n">
        <v>17645.16</v>
      </c>
      <c r="H29" s="24" t="n"/>
      <c r="I29" s="24" t="n"/>
      <c r="J29" s="24" t="n"/>
      <c r="K29" s="25" t="n"/>
      <c r="L29" s="25" t="n"/>
      <c r="M29" s="25" t="n"/>
      <c r="N29" s="25" t="n"/>
    </row>
    <row r="30" ht="16.5" customHeight="1" s="56">
      <c r="A30" s="57" t="n">
        <v>45342</v>
      </c>
      <c r="B30" s="28" t="n">
        <v>18610.21</v>
      </c>
      <c r="C30" s="27" t="n">
        <v>18756.33</v>
      </c>
      <c r="D30" s="28" t="n">
        <v>18610.21</v>
      </c>
      <c r="E30" s="27" t="n">
        <v>18753.16</v>
      </c>
      <c r="F30" s="27" t="n">
        <v>117.36</v>
      </c>
      <c r="G30" s="33" t="n">
        <v>17645.16</v>
      </c>
      <c r="H30" s="24" t="n"/>
      <c r="I30" s="24" t="n"/>
      <c r="J30" s="24" t="n"/>
      <c r="K30" s="25" t="n"/>
      <c r="L30" s="25" t="n"/>
      <c r="M30" s="25" t="n"/>
      <c r="N30" s="25" t="n"/>
    </row>
    <row r="31" ht="16.5" customHeight="1" s="56">
      <c r="A31" s="58" t="n">
        <v>45343</v>
      </c>
      <c r="B31" s="31" t="n">
        <v>18673.49</v>
      </c>
      <c r="C31" s="31" t="n">
        <v>18729.03</v>
      </c>
      <c r="D31" s="31" t="n">
        <v>18645.27</v>
      </c>
      <c r="E31" s="31" t="n">
        <v>18676.31</v>
      </c>
      <c r="F31" s="31" t="n">
        <v>-76.84999999999999</v>
      </c>
      <c r="G31" s="33" t="n">
        <v>17645.16</v>
      </c>
      <c r="H31" s="24" t="n"/>
      <c r="I31" s="24" t="n"/>
      <c r="J31" s="24" t="n"/>
      <c r="K31" s="25" t="n"/>
      <c r="L31" s="25" t="n"/>
      <c r="M31" s="25" t="n"/>
      <c r="N31" s="25" t="n"/>
    </row>
    <row r="32" ht="16.5" customHeight="1" s="56">
      <c r="A32" s="57" t="n">
        <v>45344</v>
      </c>
      <c r="B32" s="27" t="n">
        <v>18826.85</v>
      </c>
      <c r="C32" s="27" t="n">
        <v>18881.77</v>
      </c>
      <c r="D32" s="27" t="n">
        <v>18758.15</v>
      </c>
      <c r="E32" s="27" t="n">
        <v>18852.78</v>
      </c>
      <c r="F32" s="27" t="n">
        <v>176.47</v>
      </c>
      <c r="G32" s="33" t="n">
        <v>17645.16</v>
      </c>
      <c r="H32" s="24" t="n"/>
      <c r="I32" s="24" t="n"/>
      <c r="J32" s="24" t="n"/>
      <c r="K32" s="25" t="n"/>
      <c r="L32" s="25" t="n"/>
      <c r="M32" s="25" t="n"/>
      <c r="N32" s="25" t="n"/>
    </row>
    <row r="33" ht="16.5" customHeight="1" s="56">
      <c r="A33" s="58" t="n">
        <v>45345</v>
      </c>
      <c r="B33" s="32" t="n">
        <v>18950.07</v>
      </c>
      <c r="C33" s="32" t="n">
        <v>19012.38</v>
      </c>
      <c r="D33" s="32" t="n">
        <v>18889.19</v>
      </c>
      <c r="E33" s="32" t="n">
        <v>18889.19</v>
      </c>
      <c r="F33" s="32" t="n">
        <v>36.41</v>
      </c>
      <c r="G33" s="33" t="n">
        <v>17645.16</v>
      </c>
      <c r="H33" s="24" t="n"/>
      <c r="I33" s="24" t="n"/>
      <c r="J33" s="24" t="n"/>
      <c r="K33" s="25" t="n"/>
      <c r="L33" s="25" t="n"/>
      <c r="M33" s="25" t="n"/>
      <c r="N33" s="25" t="n"/>
    </row>
    <row r="34" ht="16.5" customHeight="1" s="56">
      <c r="A34" s="57" t="n">
        <v>45348</v>
      </c>
      <c r="B34" s="27" t="n">
        <v>18899.39</v>
      </c>
      <c r="C34" s="27" t="n">
        <v>18974.08</v>
      </c>
      <c r="D34" s="28" t="n">
        <v>18854.71</v>
      </c>
      <c r="E34" s="27" t="n">
        <v>18948.05</v>
      </c>
      <c r="F34" s="27" t="n">
        <v>58.86</v>
      </c>
      <c r="G34" s="33" t="n">
        <v>17645.16</v>
      </c>
      <c r="H34" s="24" t="n"/>
      <c r="I34" s="24" t="n"/>
      <c r="J34" s="24" t="n"/>
      <c r="K34" s="25" t="n"/>
      <c r="L34" s="25" t="n"/>
      <c r="M34" s="25" t="n"/>
      <c r="N34" s="25" t="n"/>
    </row>
    <row r="35" ht="16.5" customHeight="1" s="56">
      <c r="A35" s="58" t="n">
        <v>45349</v>
      </c>
      <c r="B35" s="32" t="n">
        <v>18964.49</v>
      </c>
      <c r="C35" s="32" t="n">
        <v>19023.01</v>
      </c>
      <c r="D35" s="31" t="n">
        <v>18752.53</v>
      </c>
      <c r="E35" s="31" t="n">
        <v>18854.41</v>
      </c>
      <c r="F35" s="31" t="n">
        <v>-93.64</v>
      </c>
      <c r="G35" s="33" t="n">
        <v>17645.16</v>
      </c>
      <c r="H35" s="24" t="n"/>
      <c r="I35" s="24" t="n"/>
      <c r="J35" s="24" t="n"/>
      <c r="K35" s="25" t="n"/>
      <c r="L35" s="25" t="n"/>
      <c r="M35" s="25" t="n"/>
      <c r="N35" s="25" t="n"/>
    </row>
    <row r="36" ht="16.5" customHeight="1" s="56">
      <c r="A36" s="57" t="n">
        <v>45351</v>
      </c>
      <c r="B36" s="28" t="n">
        <v>18796.54</v>
      </c>
      <c r="C36" s="27" t="n">
        <v>19019.69</v>
      </c>
      <c r="D36" s="28" t="n">
        <v>18794.62</v>
      </c>
      <c r="E36" s="27" t="n">
        <v>18966.77</v>
      </c>
      <c r="F36" s="27" t="n">
        <v>112.36</v>
      </c>
      <c r="G36" s="33" t="n">
        <v>17645.16</v>
      </c>
      <c r="H36" s="24" t="n"/>
      <c r="I36" s="24" t="n"/>
      <c r="J36" s="24" t="n"/>
      <c r="K36" s="25" t="n"/>
      <c r="L36" s="25" t="n"/>
      <c r="M36" s="25" t="n"/>
      <c r="N36" s="25" t="n"/>
    </row>
    <row r="37" ht="16.5" customHeight="1" s="56">
      <c r="A37" s="58" t="n">
        <v>45352</v>
      </c>
      <c r="B37" s="32" t="n">
        <v>19021.35</v>
      </c>
      <c r="C37" s="32" t="n">
        <v>19041.92</v>
      </c>
      <c r="D37" s="31" t="n">
        <v>18923.46</v>
      </c>
      <c r="E37" s="31" t="n">
        <v>18935.93</v>
      </c>
      <c r="F37" s="31" t="n">
        <v>-30.84</v>
      </c>
      <c r="G37" s="29" t="n">
        <v>18087.295</v>
      </c>
      <c r="H37" s="24" t="n"/>
      <c r="I37" s="24" t="n"/>
      <c r="J37" s="24" t="n"/>
      <c r="K37" s="25" t="n"/>
      <c r="L37" s="25" t="n"/>
      <c r="M37" s="25" t="n"/>
      <c r="N37" s="25" t="n"/>
    </row>
    <row r="38" ht="16.5" customHeight="1" s="56">
      <c r="A38" s="57" t="n">
        <v>45355</v>
      </c>
      <c r="B38" s="27" t="n">
        <v>18952.69</v>
      </c>
      <c r="C38" s="27" t="n">
        <v>19333.39</v>
      </c>
      <c r="D38" s="27" t="n">
        <v>18952.69</v>
      </c>
      <c r="E38" s="27" t="n">
        <v>19305.31</v>
      </c>
      <c r="F38" s="27" t="n">
        <v>369.38</v>
      </c>
      <c r="G38" s="29" t="n">
        <v>18087.295</v>
      </c>
      <c r="H38" s="24" t="n"/>
      <c r="I38" s="24" t="n"/>
      <c r="J38" s="24" t="n"/>
      <c r="K38" s="25" t="n"/>
      <c r="L38" s="25" t="n"/>
      <c r="M38" s="25" t="n"/>
      <c r="N38" s="25" t="n"/>
    </row>
    <row r="39" ht="16.5" customHeight="1" s="56">
      <c r="A39" s="58" t="n">
        <v>45356</v>
      </c>
      <c r="B39" s="32" t="n">
        <v>19398.97</v>
      </c>
      <c r="C39" s="32" t="n">
        <v>19453.85</v>
      </c>
      <c r="D39" s="32" t="n">
        <v>19332.73</v>
      </c>
      <c r="E39" s="32" t="n">
        <v>19386.92</v>
      </c>
      <c r="F39" s="32" t="n">
        <v>81.61</v>
      </c>
      <c r="G39" s="29" t="n">
        <v>18087.295</v>
      </c>
      <c r="H39" s="24" t="n"/>
      <c r="I39" s="24" t="n"/>
      <c r="J39" s="24" t="n"/>
      <c r="K39" s="25" t="n"/>
      <c r="L39" s="25" t="n"/>
      <c r="M39" s="25" t="n"/>
      <c r="N39" s="25" t="n"/>
    </row>
    <row r="40" ht="16.5" customHeight="1" s="56">
      <c r="A40" s="57" t="n">
        <v>45357</v>
      </c>
      <c r="B40" s="28" t="n">
        <v>19283.61</v>
      </c>
      <c r="C40" s="27" t="n">
        <v>19532.3</v>
      </c>
      <c r="D40" s="28" t="n">
        <v>19246.3</v>
      </c>
      <c r="E40" s="27" t="n">
        <v>19499.45</v>
      </c>
      <c r="F40" s="27" t="n">
        <v>112.53</v>
      </c>
      <c r="G40" s="29" t="n">
        <v>18087.295</v>
      </c>
      <c r="H40" s="24" t="n"/>
      <c r="I40" s="24" t="n"/>
      <c r="J40" s="24" t="n"/>
      <c r="K40" s="25" t="n"/>
      <c r="L40" s="25" t="n"/>
      <c r="M40" s="25" t="n"/>
      <c r="N40" s="25" t="n"/>
    </row>
    <row r="41" ht="16.5" customHeight="1" s="56">
      <c r="A41" s="58" t="n">
        <v>45358</v>
      </c>
      <c r="B41" s="32" t="n">
        <v>19678.36</v>
      </c>
      <c r="C41" s="32" t="n">
        <v>19794.57</v>
      </c>
      <c r="D41" s="32" t="n">
        <v>19630.79</v>
      </c>
      <c r="E41" s="32" t="n">
        <v>19693.52</v>
      </c>
      <c r="F41" s="32" t="n">
        <v>194.07</v>
      </c>
      <c r="G41" s="29" t="n">
        <v>18087.295</v>
      </c>
      <c r="H41" s="24" t="n"/>
      <c r="I41" s="24" t="n"/>
      <c r="J41" s="24" t="n"/>
      <c r="K41" s="25" t="n"/>
      <c r="L41" s="25" t="n"/>
      <c r="M41" s="25" t="n"/>
      <c r="N41" s="25" t="n"/>
    </row>
    <row r="42" ht="16.5" customHeight="1" s="56">
      <c r="A42" s="57" t="n">
        <v>45359</v>
      </c>
      <c r="B42" s="27" t="n">
        <v>19966.49</v>
      </c>
      <c r="C42" s="27" t="n">
        <v>20065.5</v>
      </c>
      <c r="D42" s="28" t="n">
        <v>19638.13</v>
      </c>
      <c r="E42" s="27" t="n">
        <v>19785.32</v>
      </c>
      <c r="F42" s="27" t="n">
        <v>91.8</v>
      </c>
      <c r="G42" s="29" t="n">
        <v>18087.295</v>
      </c>
      <c r="H42" s="24" t="n"/>
      <c r="I42" s="24" t="n"/>
      <c r="J42" s="24" t="n"/>
      <c r="K42" s="25" t="n"/>
      <c r="L42" s="25" t="n"/>
      <c r="M42" s="25" t="n"/>
      <c r="N42" s="25" t="n"/>
    </row>
    <row r="43" ht="16.5" customHeight="1" s="56">
      <c r="A43" s="58" t="n">
        <v>45362</v>
      </c>
      <c r="B43" s="31" t="n">
        <v>19671.9</v>
      </c>
      <c r="C43" s="32" t="n">
        <v>19828.7</v>
      </c>
      <c r="D43" s="31" t="n">
        <v>19649.67</v>
      </c>
      <c r="E43" s="31" t="n">
        <v>19726.08</v>
      </c>
      <c r="F43" s="31" t="n">
        <v>-59.24</v>
      </c>
      <c r="G43" s="29" t="n">
        <v>18087.295</v>
      </c>
      <c r="H43" s="24" t="n"/>
      <c r="I43" s="24" t="n"/>
      <c r="J43" s="24" t="n"/>
      <c r="K43" s="25" t="n"/>
      <c r="L43" s="25" t="n"/>
      <c r="M43" s="25" t="n"/>
      <c r="N43" s="25" t="n"/>
    </row>
    <row r="44" ht="16.5" customHeight="1" s="56">
      <c r="A44" s="57" t="n">
        <v>45363</v>
      </c>
      <c r="B44" s="28" t="n">
        <v>19672.76</v>
      </c>
      <c r="C44" s="27" t="n">
        <v>19917.06</v>
      </c>
      <c r="D44" s="28" t="n">
        <v>19664.71</v>
      </c>
      <c r="E44" s="27" t="n">
        <v>19914.55</v>
      </c>
      <c r="F44" s="27" t="n">
        <v>188.47</v>
      </c>
      <c r="G44" s="29" t="n">
        <v>18087.295</v>
      </c>
      <c r="H44" s="24" t="n"/>
      <c r="I44" s="24" t="n"/>
      <c r="J44" s="24" t="n"/>
      <c r="K44" s="25" t="n"/>
      <c r="L44" s="25" t="n"/>
      <c r="M44" s="25" t="n"/>
      <c r="N44" s="25" t="n"/>
    </row>
    <row r="45" ht="16.5" customHeight="1" s="56">
      <c r="A45" s="58" t="n">
        <v>45364</v>
      </c>
      <c r="B45" s="32" t="n">
        <v>20024.83</v>
      </c>
      <c r="C45" s="32" t="n">
        <v>20112.81</v>
      </c>
      <c r="D45" s="31" t="n">
        <v>19866.73</v>
      </c>
      <c r="E45" s="32" t="n">
        <v>19928.51</v>
      </c>
      <c r="F45" s="32" t="n">
        <v>13.96</v>
      </c>
      <c r="G45" s="29" t="n">
        <v>18087.295</v>
      </c>
      <c r="H45" s="24" t="n"/>
      <c r="I45" s="24" t="n"/>
      <c r="J45" s="24" t="n"/>
      <c r="K45" s="25" t="n"/>
      <c r="L45" s="25" t="n"/>
      <c r="M45" s="25" t="n"/>
      <c r="N45" s="25" t="n"/>
    </row>
    <row r="46" ht="16.5" customHeight="1" s="56">
      <c r="A46" s="57" t="n">
        <v>45365</v>
      </c>
      <c r="B46" s="28" t="n">
        <v>19920.63</v>
      </c>
      <c r="C46" s="27" t="n">
        <v>19995.51</v>
      </c>
      <c r="D46" s="28" t="n">
        <v>19775.5</v>
      </c>
      <c r="E46" s="27" t="n">
        <v>19937.92</v>
      </c>
      <c r="F46" s="27" t="n">
        <v>9.41</v>
      </c>
      <c r="G46" s="29" t="n">
        <v>18087.295</v>
      </c>
      <c r="H46" s="24" t="n"/>
      <c r="I46" s="24" t="n"/>
      <c r="J46" s="24" t="n"/>
      <c r="K46" s="25" t="n"/>
      <c r="L46" s="25" t="n"/>
      <c r="M46" s="25" t="n"/>
      <c r="N46" s="25" t="n"/>
    </row>
    <row r="47" ht="16.5" customHeight="1" s="56">
      <c r="A47" s="58" t="n">
        <v>45366</v>
      </c>
      <c r="B47" s="31" t="n">
        <v>19845.45</v>
      </c>
      <c r="C47" s="31" t="n">
        <v>19888.13</v>
      </c>
      <c r="D47" s="31" t="n">
        <v>19682.5</v>
      </c>
      <c r="E47" s="31" t="n">
        <v>19682.5</v>
      </c>
      <c r="F47" s="31" t="n">
        <v>-255.42</v>
      </c>
      <c r="G47" s="29" t="n">
        <v>18087.295</v>
      </c>
      <c r="H47" s="24" t="n"/>
      <c r="I47" s="24" t="n"/>
      <c r="J47" s="24" t="n"/>
      <c r="K47" s="25" t="n"/>
      <c r="L47" s="25" t="n"/>
      <c r="M47" s="25" t="n"/>
      <c r="N47" s="25" t="n"/>
    </row>
    <row r="48" ht="16.5" customHeight="1" s="56">
      <c r="A48" s="57" t="n">
        <v>45369</v>
      </c>
      <c r="B48" s="27" t="n">
        <v>19706.11</v>
      </c>
      <c r="C48" s="27" t="n">
        <v>19879.86</v>
      </c>
      <c r="D48" s="27" t="n">
        <v>19706.11</v>
      </c>
      <c r="E48" s="27" t="n">
        <v>19879.85</v>
      </c>
      <c r="F48" s="27" t="n">
        <v>197.35</v>
      </c>
      <c r="G48" s="29" t="n">
        <v>18087.295</v>
      </c>
      <c r="H48" s="24" t="n"/>
      <c r="I48" s="24" t="n"/>
      <c r="J48" s="24" t="n"/>
      <c r="K48" s="25" t="n"/>
      <c r="L48" s="25" t="n"/>
      <c r="M48" s="25" t="n"/>
      <c r="N48" s="25" t="n"/>
    </row>
    <row r="49" ht="16.5" customHeight="1" s="56">
      <c r="A49" s="58" t="n">
        <v>45370</v>
      </c>
      <c r="B49" s="31" t="n">
        <v>19798.12</v>
      </c>
      <c r="C49" s="32" t="n">
        <v>19921.25</v>
      </c>
      <c r="D49" s="31" t="n">
        <v>19762.16</v>
      </c>
      <c r="E49" s="31" t="n">
        <v>19857.2</v>
      </c>
      <c r="F49" s="31" t="n">
        <v>-22.65</v>
      </c>
      <c r="G49" s="29" t="n">
        <v>18087.295</v>
      </c>
      <c r="H49" s="24" t="n"/>
      <c r="I49" s="24" t="n"/>
      <c r="J49" s="24" t="n"/>
      <c r="K49" s="25" t="n"/>
      <c r="L49" s="25" t="n"/>
      <c r="M49" s="25" t="n"/>
      <c r="N49" s="25" t="n"/>
    </row>
    <row r="50" ht="16.5" customHeight="1" s="56">
      <c r="A50" s="57" t="n">
        <v>45371</v>
      </c>
      <c r="B50" s="27" t="n">
        <v>19879.25</v>
      </c>
      <c r="C50" s="27" t="n">
        <v>19994.42</v>
      </c>
      <c r="D50" s="28" t="n">
        <v>19728.43</v>
      </c>
      <c r="E50" s="28" t="n">
        <v>19784.45</v>
      </c>
      <c r="F50" s="28" t="n">
        <v>-72.75</v>
      </c>
      <c r="G50" s="29" t="n">
        <v>18087.295</v>
      </c>
      <c r="H50" s="24" t="n"/>
      <c r="I50" s="24" t="n"/>
      <c r="J50" s="24" t="n"/>
      <c r="K50" s="25" t="n"/>
      <c r="L50" s="25" t="n"/>
      <c r="M50" s="25" t="n"/>
      <c r="N50" s="25" t="n"/>
    </row>
    <row r="51" ht="16.5" customHeight="1" s="56">
      <c r="A51" s="58" t="n">
        <v>45372</v>
      </c>
      <c r="B51" s="32" t="n">
        <v>19843.8</v>
      </c>
      <c r="C51" s="32" t="n">
        <v>20199.3</v>
      </c>
      <c r="D51" s="32" t="n">
        <v>19843.8</v>
      </c>
      <c r="E51" s="32" t="n">
        <v>20199.09</v>
      </c>
      <c r="F51" s="32" t="n">
        <v>414.64</v>
      </c>
      <c r="G51" s="29" t="n">
        <v>18087.295</v>
      </c>
      <c r="H51" s="24" t="n"/>
      <c r="I51" s="24" t="n"/>
      <c r="J51" s="24" t="n"/>
      <c r="K51" s="25" t="n"/>
      <c r="L51" s="25" t="n"/>
      <c r="M51" s="25" t="n"/>
      <c r="N51" s="25" t="n"/>
    </row>
    <row r="52" ht="16.5" customHeight="1" s="56">
      <c r="A52" s="57" t="n">
        <v>45373</v>
      </c>
      <c r="B52" s="27" t="n">
        <v>20232.06</v>
      </c>
      <c r="C52" s="27" t="n">
        <v>20296.1</v>
      </c>
      <c r="D52" s="28" t="n">
        <v>20084.31</v>
      </c>
      <c r="E52" s="27" t="n">
        <v>20228.43</v>
      </c>
      <c r="F52" s="27" t="n">
        <v>29.34</v>
      </c>
      <c r="G52" s="29" t="n">
        <v>18087.295</v>
      </c>
      <c r="H52" s="24" t="n"/>
      <c r="I52" s="24" t="n"/>
      <c r="J52" s="24" t="n"/>
      <c r="K52" s="25" t="n"/>
      <c r="L52" s="25" t="n"/>
      <c r="M52" s="25" t="n"/>
      <c r="N52" s="25" t="n"/>
    </row>
    <row r="53" ht="16.5" customHeight="1" s="56">
      <c r="A53" s="58" t="n">
        <v>45376</v>
      </c>
      <c r="B53" s="32" t="n">
        <v>20228.64</v>
      </c>
      <c r="C53" s="32" t="n">
        <v>20285.38</v>
      </c>
      <c r="D53" s="31" t="n">
        <v>20172.8</v>
      </c>
      <c r="E53" s="31" t="n">
        <v>20192.25</v>
      </c>
      <c r="F53" s="31" t="n">
        <v>-36.18</v>
      </c>
      <c r="G53" s="29" t="n">
        <v>18087.295</v>
      </c>
      <c r="H53" s="24" t="n"/>
      <c r="I53" s="24" t="n"/>
      <c r="J53" s="24" t="n"/>
      <c r="K53" s="25" t="n"/>
      <c r="L53" s="25" t="n"/>
      <c r="M53" s="25" t="n"/>
      <c r="N53" s="25" t="n"/>
    </row>
    <row r="54" ht="16.5" customHeight="1" s="56">
      <c r="A54" s="57" t="n">
        <v>45377</v>
      </c>
      <c r="B54" s="27" t="n">
        <v>20208.88</v>
      </c>
      <c r="C54" s="27" t="n">
        <v>20397.07</v>
      </c>
      <c r="D54" s="28" t="n">
        <v>19977.4</v>
      </c>
      <c r="E54" s="28" t="n">
        <v>20126.49</v>
      </c>
      <c r="F54" s="28" t="n">
        <v>-65.76000000000001</v>
      </c>
      <c r="G54" s="29" t="n">
        <v>18087.295</v>
      </c>
      <c r="H54" s="24" t="n"/>
      <c r="I54" s="24" t="n"/>
      <c r="J54" s="24" t="n"/>
      <c r="K54" s="25" t="n"/>
      <c r="L54" s="25" t="n"/>
      <c r="M54" s="25" t="n"/>
      <c r="N54" s="25" t="n"/>
    </row>
    <row r="55" ht="16.5" customHeight="1" s="56">
      <c r="A55" s="58" t="n">
        <v>45378</v>
      </c>
      <c r="B55" s="32" t="n">
        <v>20158.07</v>
      </c>
      <c r="C55" s="32" t="n">
        <v>20255.1</v>
      </c>
      <c r="D55" s="31" t="n">
        <v>20108.96</v>
      </c>
      <c r="E55" s="32" t="n">
        <v>20200.12</v>
      </c>
      <c r="F55" s="32" t="n">
        <v>73.63</v>
      </c>
      <c r="G55" s="29" t="n">
        <v>18087.295</v>
      </c>
      <c r="H55" s="24" t="n"/>
      <c r="I55" s="24" t="n"/>
      <c r="J55" s="24" t="n"/>
      <c r="K55" s="25" t="n"/>
      <c r="L55" s="25" t="n"/>
      <c r="M55" s="25" t="n"/>
      <c r="N55" s="25" t="n"/>
    </row>
    <row r="56" ht="16.5" customHeight="1" s="56">
      <c r="A56" s="57" t="n">
        <v>45379</v>
      </c>
      <c r="B56" s="27" t="n">
        <v>20213.34</v>
      </c>
      <c r="C56" s="27" t="n">
        <v>20222.2</v>
      </c>
      <c r="D56" s="28" t="n">
        <v>20065.93</v>
      </c>
      <c r="E56" s="28" t="n">
        <v>20146.55</v>
      </c>
      <c r="F56" s="28" t="n">
        <v>-53.57</v>
      </c>
      <c r="G56" s="29" t="n">
        <v>18087.295</v>
      </c>
      <c r="H56" s="24" t="n"/>
      <c r="I56" s="24" t="n"/>
      <c r="J56" s="24" t="n"/>
      <c r="K56" s="25" t="n"/>
      <c r="L56" s="25" t="n"/>
      <c r="M56" s="25" t="n"/>
      <c r="N56" s="25" t="n"/>
    </row>
    <row r="57" ht="16.5" customHeight="1" s="56">
      <c r="A57" s="58" t="n">
        <v>45380</v>
      </c>
      <c r="B57" s="32" t="n">
        <v>20156.34</v>
      </c>
      <c r="C57" s="32" t="n">
        <v>20335.92</v>
      </c>
      <c r="D57" s="32" t="n">
        <v>20156.34</v>
      </c>
      <c r="E57" s="32" t="n">
        <v>20294.45</v>
      </c>
      <c r="F57" s="32" t="n">
        <v>147.9</v>
      </c>
      <c r="G57" s="29" t="n">
        <v>18087.295</v>
      </c>
      <c r="H57" s="24" t="n"/>
      <c r="I57" s="24" t="n"/>
      <c r="J57" s="24" t="n"/>
      <c r="K57" s="25" t="n"/>
      <c r="L57" s="25" t="n"/>
      <c r="M57" s="25" t="n"/>
      <c r="N57" s="25" t="n"/>
    </row>
    <row r="58" ht="16.5" customHeight="1" s="56">
      <c r="A58" s="57" t="n">
        <v>45383</v>
      </c>
      <c r="B58" s="27" t="n">
        <v>20319.73</v>
      </c>
      <c r="C58" s="27" t="n">
        <v>20387.23</v>
      </c>
      <c r="D58" s="28" t="n">
        <v>20217.58</v>
      </c>
      <c r="E58" s="28" t="n">
        <v>20222.33</v>
      </c>
      <c r="F58" s="28" t="n">
        <v>-72.12</v>
      </c>
      <c r="G58" s="33" t="n">
        <v>19115.01</v>
      </c>
      <c r="H58" s="24" t="n"/>
      <c r="I58" s="24" t="n"/>
      <c r="J58" s="24" t="n"/>
      <c r="K58" s="25" t="n"/>
      <c r="L58" s="25" t="n"/>
      <c r="M58" s="25" t="n"/>
      <c r="N58" s="25" t="n"/>
    </row>
    <row r="59" ht="16.5" customHeight="1" s="56">
      <c r="A59" s="58" t="n">
        <v>45384</v>
      </c>
      <c r="B59" s="32" t="n">
        <v>20359.81</v>
      </c>
      <c r="C59" s="32" t="n">
        <v>20466.57</v>
      </c>
      <c r="D59" s="32" t="n">
        <v>20359.81</v>
      </c>
      <c r="E59" s="32" t="n">
        <v>20466.57</v>
      </c>
      <c r="F59" s="32" t="n">
        <v>244.24</v>
      </c>
      <c r="G59" s="33" t="n">
        <v>19115.01</v>
      </c>
      <c r="H59" s="24" t="n"/>
      <c r="I59" s="24" t="n"/>
      <c r="J59" s="24" t="n"/>
      <c r="K59" s="25" t="n"/>
      <c r="L59" s="25" t="n"/>
      <c r="M59" s="25" t="n"/>
      <c r="N59" s="25" t="n"/>
    </row>
    <row r="60" ht="16.5" customHeight="1" s="56">
      <c r="A60" s="57" t="n">
        <v>45385</v>
      </c>
      <c r="B60" s="28" t="n">
        <v>20388.84</v>
      </c>
      <c r="C60" s="28" t="n">
        <v>20403.73</v>
      </c>
      <c r="D60" s="28" t="n">
        <v>20269.66</v>
      </c>
      <c r="E60" s="28" t="n">
        <v>20337.6</v>
      </c>
      <c r="F60" s="28" t="n">
        <v>-128.97</v>
      </c>
      <c r="G60" s="33" t="n">
        <v>19115.01</v>
      </c>
      <c r="H60" s="24" t="n"/>
      <c r="I60" s="24" t="n"/>
      <c r="J60" s="24" t="n"/>
      <c r="K60" s="25" t="n"/>
      <c r="L60" s="25" t="n"/>
      <c r="M60" s="25" t="n"/>
      <c r="N60" s="25" t="n"/>
    </row>
    <row r="61" ht="16.5" customHeight="1" s="56">
      <c r="A61" s="58" t="n">
        <v>45390</v>
      </c>
      <c r="B61" s="32" t="n">
        <v>20395.05</v>
      </c>
      <c r="C61" s="32" t="n">
        <v>20487.83</v>
      </c>
      <c r="D61" s="32" t="n">
        <v>20379.83</v>
      </c>
      <c r="E61" s="32" t="n">
        <v>20417.7</v>
      </c>
      <c r="F61" s="32" t="n">
        <v>80.09999999999999</v>
      </c>
      <c r="G61" s="33" t="n">
        <v>19115.01</v>
      </c>
      <c r="H61" s="24" t="n"/>
      <c r="I61" s="24" t="n"/>
      <c r="J61" s="24" t="n"/>
      <c r="K61" s="25" t="n"/>
      <c r="L61" s="25" t="n"/>
      <c r="M61" s="25" t="n"/>
      <c r="N61" s="25" t="n"/>
    </row>
    <row r="62" ht="16.5" customHeight="1" s="56">
      <c r="A62" s="57" t="n">
        <v>45391</v>
      </c>
      <c r="B62" s="27" t="n">
        <v>20521.56</v>
      </c>
      <c r="C62" s="27" t="n">
        <v>20820.81</v>
      </c>
      <c r="D62" s="27" t="n">
        <v>20521.56</v>
      </c>
      <c r="E62" s="27" t="n">
        <v>20796.2</v>
      </c>
      <c r="F62" s="27" t="n">
        <v>378.5</v>
      </c>
      <c r="G62" s="33" t="n">
        <v>19115.01</v>
      </c>
      <c r="H62" s="24" t="n"/>
      <c r="I62" s="24" t="n"/>
      <c r="J62" s="24" t="n"/>
      <c r="K62" s="25" t="n"/>
      <c r="L62" s="25" t="n"/>
      <c r="M62" s="25" t="n"/>
      <c r="N62" s="25" t="n"/>
    </row>
    <row r="63" ht="16.5" customHeight="1" s="56">
      <c r="A63" s="58" t="n">
        <v>45392</v>
      </c>
      <c r="B63" s="31" t="n">
        <v>20789.42</v>
      </c>
      <c r="C63" s="32" t="n">
        <v>20883.69</v>
      </c>
      <c r="D63" s="31" t="n">
        <v>20763.53</v>
      </c>
      <c r="E63" s="31" t="n">
        <v>20763.53</v>
      </c>
      <c r="F63" s="31" t="n">
        <v>-32.67</v>
      </c>
      <c r="G63" s="33" t="n">
        <v>19115.01</v>
      </c>
      <c r="H63" s="24" t="n"/>
      <c r="I63" s="24" t="n"/>
      <c r="J63" s="24" t="n"/>
      <c r="K63" s="25" t="n"/>
      <c r="L63" s="25" t="n"/>
      <c r="M63" s="25" t="n"/>
      <c r="N63" s="25" t="n"/>
    </row>
    <row r="64" ht="16.5" customHeight="1" s="56">
      <c r="A64" s="57" t="n">
        <v>45393</v>
      </c>
      <c r="B64" s="28" t="n">
        <v>20713.25</v>
      </c>
      <c r="C64" s="27" t="n">
        <v>20770.83</v>
      </c>
      <c r="D64" s="28" t="n">
        <v>20651.88</v>
      </c>
      <c r="E64" s="28" t="n">
        <v>20753.22</v>
      </c>
      <c r="F64" s="28" t="n">
        <v>-10.31</v>
      </c>
      <c r="G64" s="33" t="n">
        <v>19115.01</v>
      </c>
      <c r="H64" s="24" t="n"/>
      <c r="I64" s="24" t="n"/>
      <c r="J64" s="24" t="n"/>
      <c r="K64" s="25" t="n"/>
      <c r="L64" s="25" t="n"/>
      <c r="M64" s="25" t="n"/>
      <c r="N64" s="25" t="n"/>
    </row>
    <row r="65" ht="16.5" customHeight="1" s="56">
      <c r="A65" s="58" t="n">
        <v>45394</v>
      </c>
      <c r="B65" s="32" t="n">
        <v>20772.79</v>
      </c>
      <c r="C65" s="32" t="n">
        <v>20825.04</v>
      </c>
      <c r="D65" s="31" t="n">
        <v>20713.87</v>
      </c>
      <c r="E65" s="31" t="n">
        <v>20736.57</v>
      </c>
      <c r="F65" s="31" t="n">
        <v>-16.65</v>
      </c>
      <c r="G65" s="33" t="n">
        <v>19115.01</v>
      </c>
      <c r="H65" s="24" t="n"/>
      <c r="I65" s="24" t="n"/>
      <c r="J65" s="24" t="n"/>
      <c r="K65" s="25" t="n"/>
      <c r="L65" s="25" t="n"/>
      <c r="M65" s="25" t="n"/>
      <c r="N65" s="25" t="n"/>
    </row>
    <row r="66" ht="16.5" customHeight="1" s="56">
      <c r="A66" s="57" t="n">
        <v>45397</v>
      </c>
      <c r="B66" s="28" t="n">
        <v>20586.53</v>
      </c>
      <c r="C66" s="28" t="n">
        <v>20623.77</v>
      </c>
      <c r="D66" s="28" t="n">
        <v>20449.77</v>
      </c>
      <c r="E66" s="28" t="n">
        <v>20449.77</v>
      </c>
      <c r="F66" s="28" t="n">
        <v>-286.8</v>
      </c>
      <c r="G66" s="33" t="n">
        <v>19115.01</v>
      </c>
      <c r="H66" s="24" t="n"/>
      <c r="I66" s="24" t="n"/>
      <c r="J66" s="24" t="n"/>
      <c r="K66" s="25" t="n"/>
      <c r="L66" s="25" t="n"/>
      <c r="M66" s="25" t="n"/>
      <c r="N66" s="25" t="n"/>
    </row>
    <row r="67" ht="16.5" customHeight="1" s="56">
      <c r="A67" s="58" t="n">
        <v>45398</v>
      </c>
      <c r="B67" s="31" t="n">
        <v>20365.11</v>
      </c>
      <c r="C67" s="31" t="n">
        <v>20365.11</v>
      </c>
      <c r="D67" s="31" t="n">
        <v>19844.54</v>
      </c>
      <c r="E67" s="31" t="n">
        <v>19901.96</v>
      </c>
      <c r="F67" s="31" t="n">
        <v>-547.8099999999999</v>
      </c>
      <c r="G67" s="33" t="n">
        <v>19115.01</v>
      </c>
      <c r="H67" s="24" t="n"/>
      <c r="I67" s="24" t="n"/>
      <c r="J67" s="24" t="n"/>
      <c r="K67" s="25" t="n"/>
      <c r="L67" s="25" t="n"/>
      <c r="M67" s="25" t="n"/>
      <c r="N67" s="25" t="n"/>
    </row>
    <row r="68" ht="16.5" customHeight="1" s="56">
      <c r="A68" s="57" t="n">
        <v>45399</v>
      </c>
      <c r="B68" s="27" t="n">
        <v>19986.62</v>
      </c>
      <c r="C68" s="27" t="n">
        <v>20264.99</v>
      </c>
      <c r="D68" s="27" t="n">
        <v>19986.62</v>
      </c>
      <c r="E68" s="27" t="n">
        <v>20213.33</v>
      </c>
      <c r="F68" s="27" t="n">
        <v>311.37</v>
      </c>
      <c r="G68" s="33" t="n">
        <v>19115.01</v>
      </c>
      <c r="H68" s="24" t="n"/>
      <c r="I68" s="24" t="n"/>
      <c r="J68" s="24" t="n"/>
      <c r="K68" s="25" t="n"/>
      <c r="L68" s="25" t="n"/>
      <c r="M68" s="25" t="n"/>
      <c r="N68" s="25" t="n"/>
    </row>
    <row r="69" ht="16.5" customHeight="1" s="56">
      <c r="A69" s="58" t="n">
        <v>45400</v>
      </c>
      <c r="B69" s="31" t="n">
        <v>20126.57</v>
      </c>
      <c r="C69" s="32" t="n">
        <v>20363.09</v>
      </c>
      <c r="D69" s="31" t="n">
        <v>20057.81</v>
      </c>
      <c r="E69" s="32" t="n">
        <v>20301.2</v>
      </c>
      <c r="F69" s="32" t="n">
        <v>87.87</v>
      </c>
      <c r="G69" s="33" t="n">
        <v>19115.01</v>
      </c>
      <c r="H69" s="24" t="n"/>
      <c r="I69" s="24" t="n"/>
      <c r="J69" s="24" t="n"/>
      <c r="K69" s="25" t="n"/>
      <c r="L69" s="25" t="n"/>
      <c r="M69" s="25" t="n"/>
      <c r="N69" s="25" t="n"/>
    </row>
    <row r="70" ht="16.5" customHeight="1" s="56">
      <c r="A70" s="57" t="n">
        <v>45401</v>
      </c>
      <c r="B70" s="28" t="n">
        <v>19992.06</v>
      </c>
      <c r="C70" s="28" t="n">
        <v>19992.06</v>
      </c>
      <c r="D70" s="28" t="n">
        <v>19291.88</v>
      </c>
      <c r="E70" s="28" t="n">
        <v>19527.12</v>
      </c>
      <c r="F70" s="28" t="n">
        <v>-774.08</v>
      </c>
      <c r="G70" s="33" t="n">
        <v>19115.01</v>
      </c>
      <c r="H70" s="24" t="n"/>
      <c r="I70" s="24" t="n"/>
      <c r="J70" s="24" t="n"/>
      <c r="K70" s="25" t="n"/>
      <c r="L70" s="25" t="n"/>
      <c r="M70" s="25" t="n"/>
      <c r="N70" s="25" t="n"/>
    </row>
    <row r="71" ht="16.5" customHeight="1" s="56">
      <c r="A71" s="58" t="n">
        <v>45404</v>
      </c>
      <c r="B71" s="31" t="n">
        <v>19466.44</v>
      </c>
      <c r="C71" s="32" t="n">
        <v>19695.49</v>
      </c>
      <c r="D71" s="31" t="n">
        <v>19395.31</v>
      </c>
      <c r="E71" s="31" t="n">
        <v>19411.22</v>
      </c>
      <c r="F71" s="31" t="n">
        <v>-115.9</v>
      </c>
      <c r="G71" s="33" t="n">
        <v>19115.01</v>
      </c>
      <c r="H71" s="24" t="n"/>
      <c r="I71" s="24" t="n"/>
      <c r="J71" s="24" t="n"/>
      <c r="K71" s="25" t="n"/>
      <c r="L71" s="25" t="n"/>
      <c r="M71" s="25" t="n"/>
      <c r="N71" s="25" t="n"/>
    </row>
    <row r="72" ht="16.5" customHeight="1" s="56">
      <c r="A72" s="57" t="n">
        <v>45405</v>
      </c>
      <c r="B72" s="27" t="n">
        <v>19564.38</v>
      </c>
      <c r="C72" s="27" t="n">
        <v>19709</v>
      </c>
      <c r="D72" s="27" t="n">
        <v>19509.74</v>
      </c>
      <c r="E72" s="27" t="n">
        <v>19599.28</v>
      </c>
      <c r="F72" s="27" t="n">
        <v>188.06</v>
      </c>
      <c r="G72" s="33" t="n">
        <v>19115.01</v>
      </c>
      <c r="H72" s="24" t="n"/>
      <c r="I72" s="24" t="n"/>
      <c r="J72" s="24" t="n"/>
      <c r="K72" s="25" t="n"/>
      <c r="L72" s="25" t="n"/>
      <c r="M72" s="25" t="n"/>
      <c r="N72" s="25" t="n"/>
    </row>
    <row r="73" ht="16.5" customHeight="1" s="56">
      <c r="A73" s="58" t="n">
        <v>45406</v>
      </c>
      <c r="B73" s="32" t="n">
        <v>19770.46</v>
      </c>
      <c r="C73" s="32" t="n">
        <v>20165.77</v>
      </c>
      <c r="D73" s="32" t="n">
        <v>19770.46</v>
      </c>
      <c r="E73" s="32" t="n">
        <v>20131.74</v>
      </c>
      <c r="F73" s="32" t="n">
        <v>532.46</v>
      </c>
      <c r="G73" s="33" t="n">
        <v>19115.01</v>
      </c>
      <c r="H73" s="24" t="n"/>
      <c r="I73" s="24" t="n"/>
      <c r="J73" s="24" t="n"/>
      <c r="K73" s="25" t="n"/>
      <c r="L73" s="25" t="n"/>
      <c r="M73" s="25" t="n"/>
      <c r="N73" s="25" t="n"/>
    </row>
    <row r="74" ht="16.5" customHeight="1" s="56">
      <c r="A74" s="57" t="n">
        <v>45407</v>
      </c>
      <c r="B74" s="28" t="n">
        <v>20003</v>
      </c>
      <c r="C74" s="28" t="n">
        <v>20003</v>
      </c>
      <c r="D74" s="28" t="n">
        <v>19848.57</v>
      </c>
      <c r="E74" s="28" t="n">
        <v>19857.42</v>
      </c>
      <c r="F74" s="28" t="n">
        <v>-274.32</v>
      </c>
      <c r="G74" s="33" t="n">
        <v>19115.01</v>
      </c>
      <c r="H74" s="24" t="n"/>
      <c r="I74" s="24" t="n"/>
      <c r="J74" s="24" t="n"/>
      <c r="K74" s="25" t="n"/>
      <c r="L74" s="25" t="n"/>
      <c r="M74" s="25" t="n"/>
      <c r="N74" s="25" t="n"/>
    </row>
    <row r="75" ht="16.5" customHeight="1" s="56">
      <c r="A75" s="58" t="n">
        <v>45408</v>
      </c>
      <c r="B75" s="32" t="n">
        <v>20094.17</v>
      </c>
      <c r="C75" s="32" t="n">
        <v>20226.29</v>
      </c>
      <c r="D75" s="32" t="n">
        <v>20087.61</v>
      </c>
      <c r="E75" s="32" t="n">
        <v>20120.51</v>
      </c>
      <c r="F75" s="32" t="n">
        <v>263.09</v>
      </c>
      <c r="G75" s="33" t="n">
        <v>19115.01</v>
      </c>
      <c r="H75" s="24" t="n"/>
      <c r="I75" s="24" t="n"/>
      <c r="J75" s="24" t="n"/>
      <c r="K75" s="25" t="n"/>
      <c r="L75" s="25" t="n"/>
      <c r="M75" s="25" t="n"/>
      <c r="N75" s="25" t="n"/>
    </row>
    <row r="76" ht="16.5" customHeight="1" s="56">
      <c r="A76" s="57" t="n">
        <v>45411</v>
      </c>
      <c r="B76" s="27" t="n">
        <v>20235.93</v>
      </c>
      <c r="C76" s="27" t="n">
        <v>20495.52</v>
      </c>
      <c r="D76" s="27" t="n">
        <v>20235.93</v>
      </c>
      <c r="E76" s="27" t="n">
        <v>20495.52</v>
      </c>
      <c r="F76" s="27" t="n">
        <v>375.01</v>
      </c>
      <c r="G76" s="33" t="n">
        <v>19115.01</v>
      </c>
      <c r="H76" s="24" t="n"/>
      <c r="I76" s="24" t="n"/>
      <c r="J76" s="24" t="n"/>
      <c r="K76" s="25" t="n"/>
      <c r="L76" s="25" t="n"/>
      <c r="M76" s="25" t="n"/>
      <c r="N76" s="25" t="n"/>
    </row>
    <row r="77" ht="16.5" customHeight="1" s="56">
      <c r="A77" s="58" t="n">
        <v>45412</v>
      </c>
      <c r="B77" s="32" t="n">
        <v>20508.48</v>
      </c>
      <c r="C77" s="32" t="n">
        <v>20559.97</v>
      </c>
      <c r="D77" s="31" t="n">
        <v>20396.6</v>
      </c>
      <c r="E77" s="31" t="n">
        <v>20396.6</v>
      </c>
      <c r="F77" s="31" t="n">
        <v>-98.92</v>
      </c>
      <c r="G77" s="33" t="n">
        <v>19115.01</v>
      </c>
      <c r="H77" s="24" t="n"/>
      <c r="I77" s="24" t="n"/>
      <c r="J77" s="24" t="n"/>
      <c r="K77" s="25" t="n"/>
      <c r="L77" s="25" t="n"/>
      <c r="M77" s="25" t="n"/>
      <c r="N77" s="25" t="n"/>
    </row>
    <row r="78" ht="16.5" customHeight="1" s="56">
      <c r="A78" s="57" t="n">
        <v>45414</v>
      </c>
      <c r="B78" s="28" t="n">
        <v>20360.67</v>
      </c>
      <c r="C78" s="28" t="n">
        <v>20360.67</v>
      </c>
      <c r="D78" s="28" t="n">
        <v>20222.44</v>
      </c>
      <c r="E78" s="28" t="n">
        <v>20222.44</v>
      </c>
      <c r="F78" s="28" t="n">
        <v>-174.16</v>
      </c>
      <c r="G78" s="29" t="n">
        <v>19903.575</v>
      </c>
      <c r="H78" s="24" t="n"/>
      <c r="I78" s="24" t="n"/>
      <c r="J78" s="24" t="n"/>
      <c r="K78" s="25" t="n"/>
      <c r="L78" s="25" t="n"/>
      <c r="M78" s="25" t="n"/>
      <c r="N78" s="25" t="n"/>
    </row>
    <row r="79" ht="16.5" customHeight="1" s="56">
      <c r="A79" s="58" t="n">
        <v>45415</v>
      </c>
      <c r="B79" s="32" t="n">
        <v>20381.98</v>
      </c>
      <c r="C79" s="32" t="n">
        <v>20521.49</v>
      </c>
      <c r="D79" s="32" t="n">
        <v>20272.34</v>
      </c>
      <c r="E79" s="32" t="n">
        <v>20330.32</v>
      </c>
      <c r="F79" s="32" t="n">
        <v>107.88</v>
      </c>
      <c r="G79" s="29" t="n">
        <v>19903.575</v>
      </c>
      <c r="H79" s="24" t="n"/>
      <c r="I79" s="24" t="n"/>
      <c r="J79" s="24" t="n"/>
      <c r="K79" s="25" t="n"/>
      <c r="L79" s="25" t="n"/>
      <c r="M79" s="25" t="n"/>
      <c r="N79" s="25" t="n"/>
    </row>
    <row r="80" ht="16.5" customHeight="1" s="56">
      <c r="A80" s="57" t="n">
        <v>45418</v>
      </c>
      <c r="B80" s="27" t="n">
        <v>20479.8</v>
      </c>
      <c r="C80" s="27" t="n">
        <v>20639.9</v>
      </c>
      <c r="D80" s="27" t="n">
        <v>20479.8</v>
      </c>
      <c r="E80" s="27" t="n">
        <v>20523.31</v>
      </c>
      <c r="F80" s="27" t="n">
        <v>192.99</v>
      </c>
      <c r="G80" s="29" t="n">
        <v>19903.575</v>
      </c>
      <c r="H80" s="24" t="n"/>
      <c r="I80" s="24" t="n"/>
      <c r="J80" s="24" t="n"/>
      <c r="K80" s="25" t="n"/>
      <c r="L80" s="25" t="n"/>
      <c r="M80" s="25" t="n"/>
      <c r="N80" s="25" t="n"/>
    </row>
    <row r="81" ht="16.5" customHeight="1" s="56">
      <c r="A81" s="58" t="n">
        <v>45419</v>
      </c>
      <c r="B81" s="32" t="n">
        <v>20634.62</v>
      </c>
      <c r="C81" s="32" t="n">
        <v>20689.19</v>
      </c>
      <c r="D81" s="31" t="n">
        <v>20493.8</v>
      </c>
      <c r="E81" s="32" t="n">
        <v>20653.53</v>
      </c>
      <c r="F81" s="32" t="n">
        <v>130.22</v>
      </c>
      <c r="G81" s="29" t="n">
        <v>19903.575</v>
      </c>
      <c r="H81" s="24" t="n"/>
      <c r="I81" s="24" t="n"/>
      <c r="J81" s="24" t="n"/>
      <c r="K81" s="25" t="n"/>
      <c r="L81" s="25" t="n"/>
      <c r="M81" s="25" t="n"/>
      <c r="N81" s="25" t="n"/>
    </row>
    <row r="82" ht="16.5" customHeight="1" s="56">
      <c r="A82" s="57" t="n">
        <v>45420</v>
      </c>
      <c r="B82" s="28" t="n">
        <v>20604.18</v>
      </c>
      <c r="C82" s="27" t="n">
        <v>20700.51</v>
      </c>
      <c r="D82" s="28" t="n">
        <v>20547.48</v>
      </c>
      <c r="E82" s="27" t="n">
        <v>20700.51</v>
      </c>
      <c r="F82" s="27" t="n">
        <v>46.98</v>
      </c>
      <c r="G82" s="29" t="n">
        <v>19903.575</v>
      </c>
      <c r="H82" s="24" t="n"/>
      <c r="I82" s="24" t="n"/>
      <c r="J82" s="24" t="n"/>
      <c r="K82" s="25" t="n"/>
      <c r="L82" s="25" t="n"/>
      <c r="M82" s="25" t="n"/>
      <c r="N82" s="25" t="n"/>
    </row>
    <row r="83" ht="16.5" customHeight="1" s="56">
      <c r="A83" s="58" t="n">
        <v>45421</v>
      </c>
      <c r="B83" s="32" t="n">
        <v>20710.05</v>
      </c>
      <c r="C83" s="32" t="n">
        <v>20754.61</v>
      </c>
      <c r="D83" s="31" t="n">
        <v>20560.77</v>
      </c>
      <c r="E83" s="31" t="n">
        <v>20560.77</v>
      </c>
      <c r="F83" s="31" t="n">
        <v>-139.74</v>
      </c>
      <c r="G83" s="29" t="n">
        <v>19903.575</v>
      </c>
      <c r="H83" s="24" t="n"/>
      <c r="I83" s="24" t="n"/>
      <c r="J83" s="24" t="n"/>
      <c r="K83" s="25" t="n"/>
      <c r="L83" s="25" t="n"/>
      <c r="M83" s="25" t="n"/>
      <c r="N83" s="25" t="n"/>
    </row>
    <row r="84" ht="16.5" customHeight="1" s="56">
      <c r="A84" s="57" t="n">
        <v>45422</v>
      </c>
      <c r="B84" s="27" t="n">
        <v>20582.12</v>
      </c>
      <c r="C84" s="27" t="n">
        <v>20765.82</v>
      </c>
      <c r="D84" s="27" t="n">
        <v>20574.01</v>
      </c>
      <c r="E84" s="27" t="n">
        <v>20708.84</v>
      </c>
      <c r="F84" s="27" t="n">
        <v>148.07</v>
      </c>
      <c r="G84" s="29" t="n">
        <v>19903.575</v>
      </c>
      <c r="H84" s="24" t="n"/>
      <c r="I84" s="24" t="n"/>
      <c r="J84" s="24" t="n"/>
      <c r="K84" s="25" t="n"/>
      <c r="L84" s="25" t="n"/>
      <c r="M84" s="25" t="n"/>
      <c r="N84" s="25" t="n"/>
    </row>
    <row r="85" ht="16.5" customHeight="1" s="56">
      <c r="A85" s="58" t="n">
        <v>45425</v>
      </c>
      <c r="B85" s="32" t="n">
        <v>20905.16</v>
      </c>
      <c r="C85" s="32" t="n">
        <v>20933.28</v>
      </c>
      <c r="D85" s="32" t="n">
        <v>20816.42</v>
      </c>
      <c r="E85" s="32" t="n">
        <v>20857.71</v>
      </c>
      <c r="F85" s="32" t="n">
        <v>148.87</v>
      </c>
      <c r="G85" s="29" t="n">
        <v>19903.575</v>
      </c>
      <c r="H85" s="24" t="n"/>
      <c r="I85" s="24" t="n"/>
      <c r="J85" s="24" t="n"/>
      <c r="K85" s="25" t="n"/>
      <c r="L85" s="25" t="n"/>
      <c r="M85" s="25" t="n"/>
      <c r="N85" s="25" t="n"/>
    </row>
    <row r="86" ht="16.5" customHeight="1" s="56">
      <c r="A86" s="57" t="n">
        <v>45426</v>
      </c>
      <c r="B86" s="28" t="n">
        <v>20835.95</v>
      </c>
      <c r="C86" s="27" t="n">
        <v>20994.53</v>
      </c>
      <c r="D86" s="28" t="n">
        <v>20816.77</v>
      </c>
      <c r="E86" s="27" t="n">
        <v>20985.85</v>
      </c>
      <c r="F86" s="27" t="n">
        <v>128.14</v>
      </c>
      <c r="G86" s="29" t="n">
        <v>19903.575</v>
      </c>
      <c r="H86" s="24" t="n"/>
      <c r="I86" s="24" t="n"/>
      <c r="J86" s="24" t="n"/>
      <c r="K86" s="25" t="n"/>
      <c r="L86" s="25" t="n"/>
      <c r="M86" s="25" t="n"/>
      <c r="N86" s="25" t="n"/>
    </row>
    <row r="87" ht="16.5" customHeight="1" s="56">
      <c r="A87" s="58" t="n">
        <v>45427</v>
      </c>
      <c r="B87" s="31" t="n">
        <v>20984.7</v>
      </c>
      <c r="C87" s="32" t="n">
        <v>21308.32</v>
      </c>
      <c r="D87" s="31" t="n">
        <v>20984.7</v>
      </c>
      <c r="E87" s="32" t="n">
        <v>21147.21</v>
      </c>
      <c r="F87" s="32" t="n">
        <v>161.36</v>
      </c>
      <c r="G87" s="29" t="n">
        <v>19903.575</v>
      </c>
      <c r="H87" s="24" t="n"/>
      <c r="I87" s="24" t="n"/>
      <c r="J87" s="24" t="n"/>
      <c r="K87" s="25" t="n"/>
      <c r="L87" s="25" t="n"/>
      <c r="M87" s="25" t="n"/>
      <c r="N87" s="25" t="n"/>
    </row>
    <row r="88" ht="16.5" customHeight="1" s="56">
      <c r="A88" s="57" t="n">
        <v>45428</v>
      </c>
      <c r="B88" s="27" t="n">
        <v>21319.02</v>
      </c>
      <c r="C88" s="27" t="n">
        <v>21515.52</v>
      </c>
      <c r="D88" s="27" t="n">
        <v>21249.88</v>
      </c>
      <c r="E88" s="27" t="n">
        <v>21304.26</v>
      </c>
      <c r="F88" s="27" t="n">
        <v>157.05</v>
      </c>
      <c r="G88" s="29" t="n">
        <v>19903.575</v>
      </c>
      <c r="H88" s="24" t="n"/>
      <c r="I88" s="24" t="n"/>
      <c r="J88" s="24" t="n"/>
      <c r="K88" s="25" t="n"/>
      <c r="L88" s="25" t="n"/>
      <c r="M88" s="25" t="n"/>
      <c r="N88" s="25" t="n"/>
    </row>
    <row r="89" ht="16.5" customHeight="1" s="56">
      <c r="A89" s="58" t="n">
        <v>45429</v>
      </c>
      <c r="B89" s="32" t="n">
        <v>21346.75</v>
      </c>
      <c r="C89" s="32" t="n">
        <v>21346.75</v>
      </c>
      <c r="D89" s="31" t="n">
        <v>21218.34</v>
      </c>
      <c r="E89" s="31" t="n">
        <v>21258.47</v>
      </c>
      <c r="F89" s="31" t="n">
        <v>-45.79</v>
      </c>
      <c r="G89" s="29" t="n">
        <v>19903.575</v>
      </c>
      <c r="H89" s="24" t="n"/>
      <c r="I89" s="24" t="n"/>
      <c r="J89" s="24" t="n"/>
      <c r="K89" s="25" t="n"/>
      <c r="L89" s="25" t="n"/>
      <c r="M89" s="25" t="n"/>
      <c r="N89" s="25" t="n"/>
    </row>
    <row r="90" ht="16.5" customHeight="1" s="56">
      <c r="A90" s="57" t="n">
        <v>45432</v>
      </c>
      <c r="B90" s="27" t="n">
        <v>21278.38</v>
      </c>
      <c r="C90" s="27" t="n">
        <v>21338.35</v>
      </c>
      <c r="D90" s="28" t="n">
        <v>21102.18</v>
      </c>
      <c r="E90" s="27" t="n">
        <v>21271.63</v>
      </c>
      <c r="F90" s="27" t="n">
        <v>13.16</v>
      </c>
      <c r="G90" s="29" t="n">
        <v>19903.575</v>
      </c>
      <c r="H90" s="24" t="n"/>
      <c r="I90" s="24" t="n"/>
      <c r="J90" s="24" t="n"/>
      <c r="K90" s="25" t="n"/>
      <c r="L90" s="25" t="n"/>
      <c r="M90" s="25" t="n"/>
      <c r="N90" s="25" t="n"/>
    </row>
    <row r="91" ht="16.5" customHeight="1" s="56">
      <c r="A91" s="58" t="n">
        <v>45433</v>
      </c>
      <c r="B91" s="31" t="n">
        <v>21239.26</v>
      </c>
      <c r="C91" s="32" t="n">
        <v>21307.08</v>
      </c>
      <c r="D91" s="31" t="n">
        <v>21131.62</v>
      </c>
      <c r="E91" s="31" t="n">
        <v>21236.75</v>
      </c>
      <c r="F91" s="31" t="n">
        <v>-34.88</v>
      </c>
      <c r="G91" s="29" t="n">
        <v>19903.575</v>
      </c>
      <c r="H91" s="24" t="n"/>
      <c r="I91" s="24" t="n"/>
      <c r="J91" s="24" t="n"/>
      <c r="K91" s="25" t="n"/>
      <c r="L91" s="25" t="n"/>
      <c r="M91" s="25" t="n"/>
      <c r="N91" s="25" t="n"/>
    </row>
    <row r="92" ht="16.5" customHeight="1" s="56">
      <c r="A92" s="57" t="n">
        <v>45434</v>
      </c>
      <c r="B92" s="27" t="n">
        <v>21248.99</v>
      </c>
      <c r="C92" s="27" t="n">
        <v>21567.48</v>
      </c>
      <c r="D92" s="27" t="n">
        <v>21248.99</v>
      </c>
      <c r="E92" s="27" t="n">
        <v>21551.83</v>
      </c>
      <c r="F92" s="27" t="n">
        <v>315.08</v>
      </c>
      <c r="G92" s="29" t="n">
        <v>19903.575</v>
      </c>
      <c r="H92" s="24" t="n"/>
      <c r="I92" s="24" t="n"/>
      <c r="J92" s="24" t="n"/>
      <c r="K92" s="25" t="n"/>
      <c r="L92" s="25" t="n"/>
      <c r="M92" s="25" t="n"/>
      <c r="N92" s="25" t="n"/>
    </row>
    <row r="93" ht="16.5" customHeight="1" s="56">
      <c r="A93" s="58" t="n">
        <v>45435</v>
      </c>
      <c r="B93" s="32" t="n">
        <v>21668.84</v>
      </c>
      <c r="C93" s="32" t="n">
        <v>21668.84</v>
      </c>
      <c r="D93" s="31" t="n">
        <v>21475.99</v>
      </c>
      <c r="E93" s="32" t="n">
        <v>21607.43</v>
      </c>
      <c r="F93" s="32" t="n">
        <v>55.6</v>
      </c>
      <c r="G93" s="29" t="n">
        <v>19903.575</v>
      </c>
      <c r="H93" s="24" t="n"/>
      <c r="I93" s="24" t="n"/>
      <c r="J93" s="24" t="n"/>
      <c r="K93" s="25" t="n"/>
      <c r="L93" s="25" t="n"/>
      <c r="M93" s="25" t="n"/>
      <c r="N93" s="25" t="n"/>
    </row>
    <row r="94" ht="16.5" customHeight="1" s="56">
      <c r="A94" s="57" t="n">
        <v>45436</v>
      </c>
      <c r="B94" s="28" t="n">
        <v>21442.67</v>
      </c>
      <c r="C94" s="27" t="n">
        <v>21608.72</v>
      </c>
      <c r="D94" s="28" t="n">
        <v>21381.25</v>
      </c>
      <c r="E94" s="28" t="n">
        <v>21565.34</v>
      </c>
      <c r="F94" s="28" t="n">
        <v>-42.09</v>
      </c>
      <c r="G94" s="29" t="n">
        <v>19903.575</v>
      </c>
      <c r="H94" s="24" t="n"/>
      <c r="I94" s="24" t="n"/>
      <c r="J94" s="24" t="n"/>
      <c r="K94" s="25" t="n"/>
      <c r="L94" s="25" t="n"/>
      <c r="M94" s="25" t="n"/>
      <c r="N94" s="25" t="n"/>
    </row>
    <row r="95" ht="16.5" customHeight="1" s="56">
      <c r="A95" s="58" t="n">
        <v>45439</v>
      </c>
      <c r="B95" s="32" t="n">
        <v>21699.98</v>
      </c>
      <c r="C95" s="32" t="n">
        <v>21871.34</v>
      </c>
      <c r="D95" s="32" t="n">
        <v>21699.98</v>
      </c>
      <c r="E95" s="32" t="n">
        <v>21803.77</v>
      </c>
      <c r="F95" s="32" t="n">
        <v>238.43</v>
      </c>
      <c r="G95" s="29" t="n">
        <v>19903.575</v>
      </c>
      <c r="H95" s="24" t="n"/>
      <c r="I95" s="24" t="n"/>
      <c r="J95" s="24" t="n"/>
      <c r="K95" s="25" t="n"/>
      <c r="L95" s="25" t="n"/>
      <c r="M95" s="25" t="n"/>
      <c r="N95" s="25" t="n"/>
    </row>
    <row r="96" ht="16.5" customHeight="1" s="56">
      <c r="A96" s="57" t="n">
        <v>45440</v>
      </c>
      <c r="B96" s="27" t="n">
        <v>21812.2</v>
      </c>
      <c r="C96" s="27" t="n">
        <v>21937.4</v>
      </c>
      <c r="D96" s="27" t="n">
        <v>21812.2</v>
      </c>
      <c r="E96" s="27" t="n">
        <v>21858.41</v>
      </c>
      <c r="F96" s="27" t="n">
        <v>54.64</v>
      </c>
      <c r="G96" s="29" t="n">
        <v>19903.575</v>
      </c>
      <c r="H96" s="24" t="n"/>
      <c r="I96" s="24" t="n"/>
      <c r="J96" s="24" t="n"/>
      <c r="K96" s="25" t="n"/>
      <c r="L96" s="25" t="n"/>
      <c r="M96" s="25" t="n"/>
      <c r="N96" s="25" t="n"/>
    </row>
    <row r="97" ht="16.5" customHeight="1" s="56">
      <c r="A97" s="58" t="n">
        <v>45441</v>
      </c>
      <c r="B97" s="31" t="n">
        <v>21846.41</v>
      </c>
      <c r="C97" s="32" t="n">
        <v>21906.1</v>
      </c>
      <c r="D97" s="31" t="n">
        <v>21662.5</v>
      </c>
      <c r="E97" s="31" t="n">
        <v>21662.5</v>
      </c>
      <c r="F97" s="31" t="n">
        <v>-195.91</v>
      </c>
      <c r="G97" s="29" t="n">
        <v>19903.575</v>
      </c>
      <c r="H97" s="24" t="n"/>
      <c r="I97" s="24" t="n"/>
      <c r="J97" s="24" t="n"/>
      <c r="K97" s="25" t="n"/>
      <c r="L97" s="25" t="n"/>
      <c r="M97" s="25" t="n"/>
      <c r="N97" s="25" t="n"/>
    </row>
    <row r="98" ht="16.5" customHeight="1" s="56">
      <c r="A98" s="57" t="n">
        <v>45442</v>
      </c>
      <c r="B98" s="28" t="n">
        <v>21481.39</v>
      </c>
      <c r="C98" s="28" t="n">
        <v>21558.36</v>
      </c>
      <c r="D98" s="28" t="n">
        <v>21364.24</v>
      </c>
      <c r="E98" s="28" t="n">
        <v>21364.48</v>
      </c>
      <c r="F98" s="28" t="n">
        <v>-298.02</v>
      </c>
      <c r="G98" s="29" t="n">
        <v>19903.575</v>
      </c>
      <c r="H98" s="24" t="n"/>
      <c r="I98" s="24" t="n"/>
      <c r="J98" s="24" t="n"/>
      <c r="K98" s="25" t="n"/>
      <c r="L98" s="25" t="n"/>
      <c r="M98" s="25" t="n"/>
      <c r="N98" s="25" t="n"/>
    </row>
    <row r="99" ht="16.5" customHeight="1" s="56">
      <c r="A99" s="58" t="n">
        <v>45443</v>
      </c>
      <c r="B99" s="32" t="n">
        <v>21400.83</v>
      </c>
      <c r="C99" s="32" t="n">
        <v>21539.03</v>
      </c>
      <c r="D99" s="31" t="n">
        <v>21174.22</v>
      </c>
      <c r="E99" s="31" t="n">
        <v>21174.22</v>
      </c>
      <c r="F99" s="31" t="n">
        <v>-190.26</v>
      </c>
      <c r="G99" s="29" t="n">
        <v>19903.575</v>
      </c>
      <c r="H99" s="24" t="n"/>
      <c r="I99" s="24" t="n"/>
      <c r="J99" s="24" t="n"/>
      <c r="K99" s="25" t="n"/>
      <c r="L99" s="25" t="n"/>
      <c r="M99" s="25" t="n"/>
      <c r="N99" s="25" t="n"/>
    </row>
    <row r="100" ht="16.5" customHeight="1" s="56">
      <c r="A100" s="57" t="n">
        <v>45446</v>
      </c>
      <c r="B100" s="27" t="n">
        <v>21388.71</v>
      </c>
      <c r="C100" s="27" t="n">
        <v>21612.54</v>
      </c>
      <c r="D100" s="27" t="n">
        <v>21372.08</v>
      </c>
      <c r="E100" s="27" t="n">
        <v>21536.76</v>
      </c>
      <c r="F100" s="27" t="n">
        <v>362.54</v>
      </c>
      <c r="G100" s="33" t="n">
        <v>20614.64</v>
      </c>
      <c r="H100" s="24" t="n"/>
      <c r="I100" s="24" t="n"/>
      <c r="J100" s="24" t="n"/>
      <c r="K100" s="25" t="n"/>
      <c r="L100" s="25" t="n"/>
      <c r="M100" s="25" t="n"/>
      <c r="N100" s="25" t="n"/>
    </row>
    <row r="101" ht="16.5" customHeight="1" s="56">
      <c r="A101" s="58" t="n">
        <v>45447</v>
      </c>
      <c r="B101" s="31" t="n">
        <v>21513.85</v>
      </c>
      <c r="C101" s="31" t="n">
        <v>21529.98</v>
      </c>
      <c r="D101" s="31" t="n">
        <v>21308.97</v>
      </c>
      <c r="E101" s="31" t="n">
        <v>21356.62</v>
      </c>
      <c r="F101" s="31" t="n">
        <v>-180.14</v>
      </c>
      <c r="G101" s="33" t="n">
        <v>20614.64</v>
      </c>
      <c r="H101" s="24" t="n"/>
      <c r="I101" s="24" t="n"/>
      <c r="J101" s="24" t="n"/>
      <c r="K101" s="25" t="n"/>
      <c r="L101" s="25" t="n"/>
      <c r="M101" s="25" t="n"/>
      <c r="N101" s="25" t="n"/>
    </row>
    <row r="102" ht="16.5" customHeight="1" s="56">
      <c r="A102" s="57" t="n">
        <v>45448</v>
      </c>
      <c r="B102" s="27" t="n">
        <v>21385</v>
      </c>
      <c r="C102" s="27" t="n">
        <v>21510.86</v>
      </c>
      <c r="D102" s="28" t="n">
        <v>21264.63</v>
      </c>
      <c r="E102" s="27" t="n">
        <v>21484.88</v>
      </c>
      <c r="F102" s="27" t="n">
        <v>128.26</v>
      </c>
      <c r="G102" s="33" t="n">
        <v>20614.64</v>
      </c>
      <c r="H102" s="24" t="n"/>
      <c r="I102" s="24" t="n"/>
      <c r="J102" s="24" t="n"/>
      <c r="K102" s="25" t="n"/>
      <c r="L102" s="25" t="n"/>
      <c r="M102" s="25" t="n"/>
      <c r="N102" s="25" t="n"/>
    </row>
    <row r="103" ht="16.5" customHeight="1" s="56">
      <c r="A103" s="58" t="n">
        <v>45449</v>
      </c>
      <c r="B103" s="32" t="n">
        <v>21856.13</v>
      </c>
      <c r="C103" s="32" t="n">
        <v>21970.63</v>
      </c>
      <c r="D103" s="32" t="n">
        <v>21847.68</v>
      </c>
      <c r="E103" s="32" t="n">
        <v>21902.7</v>
      </c>
      <c r="F103" s="32" t="n">
        <v>417.82</v>
      </c>
      <c r="G103" s="33" t="n">
        <v>20614.64</v>
      </c>
      <c r="H103" s="24" t="n"/>
      <c r="I103" s="24" t="n"/>
      <c r="J103" s="24" t="n"/>
      <c r="K103" s="25" t="n"/>
      <c r="L103" s="25" t="n"/>
      <c r="M103" s="25" t="n"/>
      <c r="N103" s="25" t="n"/>
    </row>
    <row r="104" ht="16.5" customHeight="1" s="56">
      <c r="A104" s="57" t="n">
        <v>45450</v>
      </c>
      <c r="B104" s="28" t="n">
        <v>21823.62</v>
      </c>
      <c r="C104" s="27" t="n">
        <v>21920.85</v>
      </c>
      <c r="D104" s="28" t="n">
        <v>21823.62</v>
      </c>
      <c r="E104" s="28" t="n">
        <v>21858.38</v>
      </c>
      <c r="F104" s="28" t="n">
        <v>-44.32</v>
      </c>
      <c r="G104" s="33" t="n">
        <v>20614.64</v>
      </c>
      <c r="H104" s="24" t="n"/>
      <c r="I104" s="24" t="n"/>
      <c r="J104" s="24" t="n"/>
      <c r="K104" s="25" t="n"/>
      <c r="L104" s="25" t="n"/>
      <c r="M104" s="25" t="n"/>
      <c r="N104" s="25" t="n"/>
    </row>
    <row r="105" ht="16.5" customHeight="1" s="56">
      <c r="A105" s="58" t="n">
        <v>45454</v>
      </c>
      <c r="B105" s="32" t="n">
        <v>21984.42</v>
      </c>
      <c r="C105" s="32" t="n">
        <v>22003.71</v>
      </c>
      <c r="D105" s="31" t="n">
        <v>21792.12</v>
      </c>
      <c r="E105" s="31" t="n">
        <v>21792.12</v>
      </c>
      <c r="F105" s="31" t="n">
        <v>-66.26000000000001</v>
      </c>
      <c r="G105" s="33" t="n">
        <v>20614.64</v>
      </c>
      <c r="H105" s="24" t="n"/>
      <c r="I105" s="24" t="n"/>
      <c r="J105" s="24" t="n"/>
      <c r="K105" s="25" t="n"/>
      <c r="L105" s="25" t="n"/>
      <c r="M105" s="25" t="n"/>
      <c r="N105" s="25" t="n"/>
    </row>
    <row r="106" ht="16.5" customHeight="1" s="56">
      <c r="A106" s="57" t="n">
        <v>45455</v>
      </c>
      <c r="B106" s="27" t="n">
        <v>21841.81</v>
      </c>
      <c r="C106" s="27" t="n">
        <v>22094.94</v>
      </c>
      <c r="D106" s="27" t="n">
        <v>21841.81</v>
      </c>
      <c r="E106" s="27" t="n">
        <v>22048.96</v>
      </c>
      <c r="F106" s="27" t="n">
        <v>256.84</v>
      </c>
      <c r="G106" s="33" t="n">
        <v>20614.64</v>
      </c>
      <c r="H106" s="24" t="n"/>
      <c r="I106" s="24" t="n"/>
      <c r="J106" s="24" t="n"/>
      <c r="K106" s="25" t="n"/>
      <c r="L106" s="25" t="n"/>
      <c r="M106" s="25" t="n"/>
      <c r="N106" s="25" t="n"/>
    </row>
    <row r="107" ht="16.5" customHeight="1" s="56">
      <c r="A107" s="58" t="n">
        <v>45456</v>
      </c>
      <c r="B107" s="32" t="n">
        <v>22217.64</v>
      </c>
      <c r="C107" s="32" t="n">
        <v>22440.1</v>
      </c>
      <c r="D107" s="32" t="n">
        <v>22211.08</v>
      </c>
      <c r="E107" s="32" t="n">
        <v>22312.04</v>
      </c>
      <c r="F107" s="32" t="n">
        <v>263.08</v>
      </c>
      <c r="G107" s="33" t="n">
        <v>20614.64</v>
      </c>
      <c r="H107" s="24" t="n"/>
      <c r="I107" s="24" t="n"/>
      <c r="J107" s="24" t="n"/>
      <c r="K107" s="25" t="n"/>
      <c r="L107" s="25" t="n"/>
      <c r="M107" s="25" t="n"/>
      <c r="N107" s="25" t="n"/>
    </row>
    <row r="108" ht="16.5" customHeight="1" s="56">
      <c r="A108" s="57" t="n">
        <v>45457</v>
      </c>
      <c r="B108" s="28" t="n">
        <v>22311.93</v>
      </c>
      <c r="C108" s="27" t="n">
        <v>22504.72</v>
      </c>
      <c r="D108" s="28" t="n">
        <v>22252.02</v>
      </c>
      <c r="E108" s="27" t="n">
        <v>22504.72</v>
      </c>
      <c r="F108" s="27" t="n">
        <v>192.68</v>
      </c>
      <c r="G108" s="33" t="n">
        <v>20614.64</v>
      </c>
      <c r="H108" s="24" t="n"/>
      <c r="I108" s="24" t="n"/>
      <c r="J108" s="24" t="n"/>
      <c r="K108" s="25" t="n"/>
      <c r="L108" s="25" t="n"/>
      <c r="M108" s="25" t="n"/>
      <c r="N108" s="25" t="n"/>
    </row>
    <row r="109" ht="16.5" customHeight="1" s="56">
      <c r="A109" s="58" t="n">
        <v>45460</v>
      </c>
      <c r="B109" s="31" t="n">
        <v>22468.11</v>
      </c>
      <c r="C109" s="32" t="n">
        <v>22567.34</v>
      </c>
      <c r="D109" s="31" t="n">
        <v>22431.26</v>
      </c>
      <c r="E109" s="31" t="n">
        <v>22496.53</v>
      </c>
      <c r="F109" s="31" t="n">
        <v>-8.19</v>
      </c>
      <c r="G109" s="33" t="n">
        <v>20614.64</v>
      </c>
      <c r="H109" s="24" t="n"/>
      <c r="I109" s="24" t="n"/>
      <c r="J109" s="24" t="n"/>
      <c r="K109" s="25" t="n"/>
      <c r="L109" s="25" t="n"/>
      <c r="M109" s="25" t="n"/>
      <c r="N109" s="25" t="n"/>
    </row>
    <row r="110" ht="16.5" customHeight="1" s="56">
      <c r="A110" s="57" t="n">
        <v>45461</v>
      </c>
      <c r="B110" s="27" t="n">
        <v>22690.34</v>
      </c>
      <c r="C110" s="27" t="n">
        <v>22787.67</v>
      </c>
      <c r="D110" s="27" t="n">
        <v>22642.94</v>
      </c>
      <c r="E110" s="27" t="n">
        <v>22757.43</v>
      </c>
      <c r="F110" s="27" t="n">
        <v>260.9</v>
      </c>
      <c r="G110" s="33" t="n">
        <v>20614.64</v>
      </c>
      <c r="H110" s="24" t="n"/>
      <c r="I110" s="24" t="n"/>
      <c r="J110" s="24" t="n"/>
      <c r="K110" s="25" t="n"/>
      <c r="L110" s="25" t="n"/>
      <c r="M110" s="25" t="n"/>
      <c r="N110" s="25" t="n"/>
    </row>
    <row r="111" ht="16.5" customHeight="1" s="56">
      <c r="A111" s="58" t="n">
        <v>45462</v>
      </c>
      <c r="B111" s="32" t="n">
        <v>22858.45</v>
      </c>
      <c r="C111" s="32" t="n">
        <v>23275.3</v>
      </c>
      <c r="D111" s="32" t="n">
        <v>22858.45</v>
      </c>
      <c r="E111" s="32" t="n">
        <v>23209.54</v>
      </c>
      <c r="F111" s="32" t="n">
        <v>452.11</v>
      </c>
      <c r="G111" s="33" t="n">
        <v>20614.64</v>
      </c>
      <c r="H111" s="24" t="n"/>
      <c r="I111" s="24" t="n"/>
      <c r="J111" s="24" t="n"/>
      <c r="K111" s="25" t="n"/>
      <c r="L111" s="25" t="n"/>
      <c r="M111" s="25" t="n"/>
      <c r="N111" s="25" t="n"/>
    </row>
    <row r="112" ht="16.5" customHeight="1" s="56">
      <c r="A112" s="57" t="n">
        <v>45463</v>
      </c>
      <c r="B112" s="28" t="n">
        <v>23196.69</v>
      </c>
      <c r="C112" s="27" t="n">
        <v>23406.1</v>
      </c>
      <c r="D112" s="28" t="n">
        <v>23180.7</v>
      </c>
      <c r="E112" s="27" t="n">
        <v>23406.1</v>
      </c>
      <c r="F112" s="27" t="n">
        <v>196.56</v>
      </c>
      <c r="G112" s="33" t="n">
        <v>20614.64</v>
      </c>
      <c r="H112" s="24" t="n"/>
      <c r="I112" s="24" t="n"/>
      <c r="J112" s="24" t="n"/>
      <c r="K112" s="25" t="n"/>
      <c r="L112" s="25" t="n"/>
      <c r="M112" s="25" t="n"/>
      <c r="N112" s="25" t="n"/>
    </row>
    <row r="113" ht="16.5" customHeight="1" s="56">
      <c r="A113" s="58" t="n">
        <v>45464</v>
      </c>
      <c r="B113" s="31" t="n">
        <v>23193.9</v>
      </c>
      <c r="C113" s="31" t="n">
        <v>23351.17</v>
      </c>
      <c r="D113" s="31" t="n">
        <v>23151.15</v>
      </c>
      <c r="E113" s="31" t="n">
        <v>23253.39</v>
      </c>
      <c r="F113" s="31" t="n">
        <v>-152.71</v>
      </c>
      <c r="G113" s="33" t="n">
        <v>20614.64</v>
      </c>
      <c r="H113" s="24" t="n"/>
      <c r="I113" s="24" t="n"/>
      <c r="J113" s="24" t="n"/>
      <c r="K113" s="25" t="n"/>
      <c r="L113" s="25" t="n"/>
      <c r="M113" s="25" t="n"/>
      <c r="N113" s="25" t="n"/>
    </row>
    <row r="114" ht="16.5" customHeight="1" s="56">
      <c r="A114" s="57" t="n">
        <v>45467</v>
      </c>
      <c r="B114" s="28" t="n">
        <v>23124.31</v>
      </c>
      <c r="C114" s="28" t="n">
        <v>23131.68</v>
      </c>
      <c r="D114" s="28" t="n">
        <v>22813.7</v>
      </c>
      <c r="E114" s="28" t="n">
        <v>22813.7</v>
      </c>
      <c r="F114" s="28" t="n">
        <v>-439.69</v>
      </c>
      <c r="G114" s="33" t="n">
        <v>20614.64</v>
      </c>
      <c r="H114" s="24" t="n"/>
      <c r="I114" s="24" t="n"/>
      <c r="J114" s="24" t="n"/>
      <c r="K114" s="25" t="n"/>
      <c r="L114" s="25" t="n"/>
      <c r="M114" s="25" t="n"/>
      <c r="N114" s="25" t="n"/>
    </row>
    <row r="115" ht="16.5" customHeight="1" s="56">
      <c r="A115" s="58" t="n">
        <v>45468</v>
      </c>
      <c r="B115" s="31" t="n">
        <v>22695.15</v>
      </c>
      <c r="C115" s="32" t="n">
        <v>22875.97</v>
      </c>
      <c r="D115" s="31" t="n">
        <v>22503</v>
      </c>
      <c r="E115" s="32" t="n">
        <v>22875.97</v>
      </c>
      <c r="F115" s="32" t="n">
        <v>62.27</v>
      </c>
      <c r="G115" s="33" t="n">
        <v>20614.64</v>
      </c>
      <c r="H115" s="24" t="n"/>
      <c r="I115" s="24" t="n"/>
      <c r="J115" s="24" t="n"/>
      <c r="K115" s="25" t="n"/>
      <c r="L115" s="25" t="n"/>
      <c r="M115" s="25" t="n"/>
      <c r="N115" s="25" t="n"/>
    </row>
    <row r="116" ht="16.5" customHeight="1" s="56">
      <c r="A116" s="57" t="n">
        <v>45469</v>
      </c>
      <c r="B116" s="27" t="n">
        <v>22938.57</v>
      </c>
      <c r="C116" s="27" t="n">
        <v>23074.74</v>
      </c>
      <c r="D116" s="27" t="n">
        <v>22893.75</v>
      </c>
      <c r="E116" s="27" t="n">
        <v>22986.69</v>
      </c>
      <c r="F116" s="27" t="n">
        <v>110.72</v>
      </c>
      <c r="G116" s="33" t="n">
        <v>20614.64</v>
      </c>
      <c r="H116" s="24" t="n"/>
      <c r="I116" s="24" t="n"/>
      <c r="J116" s="24" t="n"/>
      <c r="K116" s="25" t="n"/>
      <c r="L116" s="25" t="n"/>
      <c r="M116" s="25" t="n"/>
      <c r="N116" s="25" t="n"/>
    </row>
    <row r="117" ht="16.5" customHeight="1" s="56">
      <c r="A117" s="58" t="n">
        <v>45470</v>
      </c>
      <c r="B117" s="31" t="n">
        <v>22859.93</v>
      </c>
      <c r="C117" s="31" t="n">
        <v>22922.56</v>
      </c>
      <c r="D117" s="31" t="n">
        <v>22765.16</v>
      </c>
      <c r="E117" s="31" t="n">
        <v>22905.98</v>
      </c>
      <c r="F117" s="31" t="n">
        <v>-80.70999999999999</v>
      </c>
      <c r="G117" s="33" t="n">
        <v>20614.64</v>
      </c>
      <c r="H117" s="24" t="n"/>
      <c r="I117" s="24" t="n"/>
      <c r="J117" s="24" t="n"/>
      <c r="K117" s="25" t="n"/>
      <c r="L117" s="25" t="n"/>
      <c r="M117" s="25" t="n"/>
      <c r="N117" s="25" t="n"/>
    </row>
    <row r="118" ht="16.5" customHeight="1" s="56">
      <c r="A118" s="57" t="n">
        <v>45471</v>
      </c>
      <c r="B118" s="28" t="n">
        <v>22896.72</v>
      </c>
      <c r="C118" s="27" t="n">
        <v>23142.4</v>
      </c>
      <c r="D118" s="28" t="n">
        <v>22896.72</v>
      </c>
      <c r="E118" s="27" t="n">
        <v>23032.25</v>
      </c>
      <c r="F118" s="27" t="n">
        <v>126.27</v>
      </c>
      <c r="G118" s="33" t="n">
        <v>20614.64</v>
      </c>
      <c r="H118" s="24" t="n"/>
      <c r="I118" s="24" t="n"/>
      <c r="J118" s="24" t="n"/>
      <c r="K118" s="25" t="n"/>
      <c r="L118" s="25" t="n"/>
      <c r="M118" s="25" t="n"/>
      <c r="N118" s="25" t="n"/>
    </row>
    <row r="119" ht="16.5" customHeight="1" s="56">
      <c r="A119" s="58" t="n">
        <v>45474</v>
      </c>
      <c r="B119" s="32" t="n">
        <v>23042.7</v>
      </c>
      <c r="C119" s="32" t="n">
        <v>23187.88</v>
      </c>
      <c r="D119" s="31" t="n">
        <v>23015.17</v>
      </c>
      <c r="E119" s="32" t="n">
        <v>23058.57</v>
      </c>
      <c r="F119" s="32" t="n">
        <v>26.32</v>
      </c>
      <c r="G119" s="29" t="n">
        <v>21814.27</v>
      </c>
      <c r="H119" s="24" t="n"/>
      <c r="I119" s="24" t="n"/>
      <c r="J119" s="24" t="n"/>
      <c r="K119" s="25" t="n"/>
      <c r="L119" s="25" t="n"/>
      <c r="M119" s="25" t="n"/>
      <c r="N119" s="25" t="n"/>
    </row>
    <row r="120" ht="16.5" customHeight="1" s="56">
      <c r="A120" s="57" t="n">
        <v>45475</v>
      </c>
      <c r="B120" s="28" t="n">
        <v>23012.74</v>
      </c>
      <c r="C120" s="28" t="n">
        <v>23041.9</v>
      </c>
      <c r="D120" s="28" t="n">
        <v>22833.78</v>
      </c>
      <c r="E120" s="28" t="n">
        <v>22879.37</v>
      </c>
      <c r="F120" s="28" t="n">
        <v>-179.2</v>
      </c>
      <c r="G120" s="29" t="n">
        <v>21814.27</v>
      </c>
      <c r="H120" s="24" t="n"/>
      <c r="I120" s="24" t="n"/>
      <c r="J120" s="24" t="n"/>
      <c r="K120" s="25" t="n"/>
      <c r="L120" s="25" t="n"/>
      <c r="M120" s="25" t="n"/>
      <c r="N120" s="25" t="n"/>
    </row>
    <row r="121" ht="16.5" customHeight="1" s="56">
      <c r="A121" s="58" t="n">
        <v>45476</v>
      </c>
      <c r="B121" s="32" t="n">
        <v>23009.82</v>
      </c>
      <c r="C121" s="32" t="n">
        <v>23172.43</v>
      </c>
      <c r="D121" s="32" t="n">
        <v>22994.28</v>
      </c>
      <c r="E121" s="32" t="n">
        <v>23172.43</v>
      </c>
      <c r="F121" s="32" t="n">
        <v>293.06</v>
      </c>
      <c r="G121" s="29" t="n">
        <v>21814.27</v>
      </c>
      <c r="H121" s="24" t="n"/>
      <c r="I121" s="24" t="n"/>
      <c r="J121" s="24" t="n"/>
      <c r="K121" s="25" t="n"/>
      <c r="L121" s="25" t="n"/>
      <c r="M121" s="25" t="n"/>
      <c r="N121" s="25" t="n"/>
    </row>
    <row r="122" ht="16.5" customHeight="1" s="56">
      <c r="A122" s="57" t="n">
        <v>45477</v>
      </c>
      <c r="B122" s="27" t="n">
        <v>23360.88</v>
      </c>
      <c r="C122" s="27" t="n">
        <v>23571.82</v>
      </c>
      <c r="D122" s="27" t="n">
        <v>23360.88</v>
      </c>
      <c r="E122" s="27" t="n">
        <v>23522.53</v>
      </c>
      <c r="F122" s="27" t="n">
        <v>350.1</v>
      </c>
      <c r="G122" s="29" t="n">
        <v>21814.27</v>
      </c>
      <c r="H122" s="24" t="n"/>
      <c r="I122" s="24" t="n"/>
      <c r="J122" s="24" t="n"/>
      <c r="K122" s="25" t="n"/>
      <c r="L122" s="25" t="n"/>
      <c r="M122" s="25" t="n"/>
      <c r="N122" s="25" t="n"/>
    </row>
    <row r="123" ht="16.5" customHeight="1" s="56">
      <c r="A123" s="58" t="n">
        <v>45478</v>
      </c>
      <c r="B123" s="32" t="n">
        <v>23532.01</v>
      </c>
      <c r="C123" s="32" t="n">
        <v>23628.86</v>
      </c>
      <c r="D123" s="31" t="n">
        <v>23491.79</v>
      </c>
      <c r="E123" s="32" t="n">
        <v>23556.59</v>
      </c>
      <c r="F123" s="32" t="n">
        <v>34.06</v>
      </c>
      <c r="G123" s="29" t="n">
        <v>21814.27</v>
      </c>
      <c r="H123" s="24" t="n"/>
      <c r="I123" s="24" t="n"/>
      <c r="J123" s="24" t="n"/>
      <c r="K123" s="25" t="n"/>
      <c r="L123" s="25" t="n"/>
      <c r="M123" s="25" t="n"/>
      <c r="N123" s="25" t="n"/>
    </row>
    <row r="124" ht="16.5" customHeight="1" s="56">
      <c r="A124" s="57" t="n">
        <v>45481</v>
      </c>
      <c r="B124" s="28" t="n">
        <v>23550.64</v>
      </c>
      <c r="C124" s="27" t="n">
        <v>24011.64</v>
      </c>
      <c r="D124" s="28" t="n">
        <v>23505.86</v>
      </c>
      <c r="E124" s="27" t="n">
        <v>23878.15</v>
      </c>
      <c r="F124" s="27" t="n">
        <v>321.56</v>
      </c>
      <c r="G124" s="29" t="n">
        <v>21814.27</v>
      </c>
      <c r="H124" s="24" t="n"/>
      <c r="I124" s="24" t="n"/>
      <c r="J124" s="24" t="n"/>
      <c r="K124" s="25" t="n"/>
      <c r="L124" s="25" t="n"/>
      <c r="M124" s="25" t="n"/>
      <c r="N124" s="25" t="n"/>
    </row>
    <row r="125" ht="16.5" customHeight="1" s="56">
      <c r="A125" s="58" t="n">
        <v>45482</v>
      </c>
      <c r="B125" s="32" t="n">
        <v>23888.2</v>
      </c>
      <c r="C125" s="32" t="n">
        <v>24126.66</v>
      </c>
      <c r="D125" s="31" t="n">
        <v>23607.92</v>
      </c>
      <c r="E125" s="32" t="n">
        <v>23900.08</v>
      </c>
      <c r="F125" s="32" t="n">
        <v>21.93</v>
      </c>
      <c r="G125" s="29" t="n">
        <v>21814.27</v>
      </c>
      <c r="H125" s="24" t="n"/>
      <c r="I125" s="24" t="n"/>
      <c r="J125" s="24" t="n"/>
      <c r="K125" s="25" t="n"/>
      <c r="L125" s="25" t="n"/>
      <c r="M125" s="25" t="n"/>
      <c r="N125" s="25" t="n"/>
    </row>
    <row r="126" ht="16.5" customHeight="1" s="56">
      <c r="A126" s="57" t="n">
        <v>45483</v>
      </c>
      <c r="B126" s="28" t="n">
        <v>23744.88</v>
      </c>
      <c r="C126" s="27" t="n">
        <v>24040.61</v>
      </c>
      <c r="D126" s="28" t="n">
        <v>23682.49</v>
      </c>
      <c r="E126" s="27" t="n">
        <v>24007.08</v>
      </c>
      <c r="F126" s="27" t="n">
        <v>107</v>
      </c>
      <c r="G126" s="29" t="n">
        <v>21814.27</v>
      </c>
      <c r="H126" s="24" t="n"/>
      <c r="I126" s="24" t="n"/>
      <c r="J126" s="24" t="n"/>
      <c r="K126" s="25" t="n"/>
      <c r="L126" s="25" t="n"/>
      <c r="M126" s="25" t="n"/>
      <c r="N126" s="25" t="n"/>
    </row>
    <row r="127" ht="16.5" customHeight="1" s="56">
      <c r="A127" s="58" t="n">
        <v>45484</v>
      </c>
      <c r="B127" s="32" t="n">
        <v>24242.03</v>
      </c>
      <c r="C127" s="32" t="n">
        <v>24416.67</v>
      </c>
      <c r="D127" s="32" t="n">
        <v>24151.8</v>
      </c>
      <c r="E127" s="32" t="n">
        <v>24390.03</v>
      </c>
      <c r="F127" s="32" t="n">
        <v>382.95</v>
      </c>
      <c r="G127" s="29" t="n">
        <v>21814.27</v>
      </c>
      <c r="H127" s="24" t="n"/>
      <c r="I127" s="24" t="n"/>
      <c r="J127" s="24" t="n"/>
      <c r="K127" s="25" t="n"/>
      <c r="L127" s="25" t="n"/>
      <c r="M127" s="25" t="n"/>
      <c r="N127" s="25" t="n"/>
    </row>
    <row r="128" ht="16.5" customHeight="1" s="56">
      <c r="A128" s="57" t="n">
        <v>45485</v>
      </c>
      <c r="B128" s="28" t="n">
        <v>23955.67</v>
      </c>
      <c r="C128" s="28" t="n">
        <v>24045.73</v>
      </c>
      <c r="D128" s="28" t="n">
        <v>23774.22</v>
      </c>
      <c r="E128" s="28" t="n">
        <v>23916.93</v>
      </c>
      <c r="F128" s="28" t="n">
        <v>-473.1</v>
      </c>
      <c r="G128" s="29" t="n">
        <v>21814.27</v>
      </c>
      <c r="H128" s="24" t="n"/>
      <c r="I128" s="24" t="n"/>
      <c r="J128" s="24" t="n"/>
      <c r="K128" s="25" t="n"/>
      <c r="L128" s="25" t="n"/>
      <c r="M128" s="25" t="n"/>
      <c r="N128" s="25" t="n"/>
    </row>
    <row r="129" ht="16.5" customHeight="1" s="56">
      <c r="A129" s="58" t="n">
        <v>45488</v>
      </c>
      <c r="B129" s="32" t="n">
        <v>23927.91</v>
      </c>
      <c r="C129" s="32" t="n">
        <v>24018.31</v>
      </c>
      <c r="D129" s="31" t="n">
        <v>23759.51</v>
      </c>
      <c r="E129" s="31" t="n">
        <v>23879.36</v>
      </c>
      <c r="F129" s="31" t="n">
        <v>-37.57</v>
      </c>
      <c r="G129" s="29" t="n">
        <v>21814.27</v>
      </c>
      <c r="H129" s="24" t="n"/>
      <c r="I129" s="24" t="n"/>
      <c r="J129" s="24" t="n"/>
      <c r="K129" s="25" t="n"/>
      <c r="L129" s="25" t="n"/>
      <c r="M129" s="25" t="n"/>
      <c r="N129" s="25" t="n"/>
    </row>
    <row r="130" ht="16.5" customHeight="1" s="56">
      <c r="A130" s="57" t="n">
        <v>45489</v>
      </c>
      <c r="B130" s="27" t="n">
        <v>23880.33</v>
      </c>
      <c r="C130" s="27" t="n">
        <v>24174.18</v>
      </c>
      <c r="D130" s="28" t="n">
        <v>23861.77</v>
      </c>
      <c r="E130" s="27" t="n">
        <v>23997.25</v>
      </c>
      <c r="F130" s="27" t="n">
        <v>117.89</v>
      </c>
      <c r="G130" s="29" t="n">
        <v>21814.27</v>
      </c>
      <c r="H130" s="24" t="n"/>
      <c r="I130" s="24" t="n"/>
      <c r="J130" s="24" t="n"/>
      <c r="K130" s="25" t="n"/>
      <c r="L130" s="25" t="n"/>
      <c r="M130" s="25" t="n"/>
      <c r="N130" s="25" t="n"/>
    </row>
    <row r="131" ht="16.5" customHeight="1" s="56">
      <c r="A131" s="58" t="n">
        <v>45490</v>
      </c>
      <c r="B131" s="31" t="n">
        <v>23827.27</v>
      </c>
      <c r="C131" s="31" t="n">
        <v>23993.68</v>
      </c>
      <c r="D131" s="31" t="n">
        <v>23650.94</v>
      </c>
      <c r="E131" s="31" t="n">
        <v>23769.82</v>
      </c>
      <c r="F131" s="31" t="n">
        <v>-227.43</v>
      </c>
      <c r="G131" s="29" t="n">
        <v>21814.27</v>
      </c>
      <c r="H131" s="24" t="n"/>
      <c r="I131" s="24" t="n"/>
      <c r="J131" s="24" t="n"/>
      <c r="K131" s="25" t="n"/>
      <c r="L131" s="25" t="n"/>
      <c r="M131" s="25" t="n"/>
      <c r="N131" s="25" t="n"/>
    </row>
    <row r="132" ht="16.5" customHeight="1" s="56">
      <c r="A132" s="57" t="n">
        <v>45491</v>
      </c>
      <c r="B132" s="28" t="n">
        <v>23373.01</v>
      </c>
      <c r="C132" s="28" t="n">
        <v>23450.91</v>
      </c>
      <c r="D132" s="28" t="n">
        <v>23148.74</v>
      </c>
      <c r="E132" s="28" t="n">
        <v>23398.47</v>
      </c>
      <c r="F132" s="28" t="n">
        <v>-371.35</v>
      </c>
      <c r="G132" s="29" t="n">
        <v>21814.27</v>
      </c>
      <c r="H132" s="24" t="n"/>
      <c r="I132" s="24" t="n"/>
      <c r="J132" s="24" t="n"/>
      <c r="K132" s="25" t="n"/>
      <c r="L132" s="25" t="n"/>
      <c r="M132" s="25" t="n"/>
      <c r="N132" s="25" t="n"/>
    </row>
    <row r="133" ht="16.5" customHeight="1" s="56">
      <c r="A133" s="58" t="n">
        <v>45492</v>
      </c>
      <c r="B133" s="31" t="n">
        <v>23228.04</v>
      </c>
      <c r="C133" s="31" t="n">
        <v>23235.82</v>
      </c>
      <c r="D133" s="31" t="n">
        <v>22865.84</v>
      </c>
      <c r="E133" s="31" t="n">
        <v>22869.26</v>
      </c>
      <c r="F133" s="31" t="n">
        <v>-529.21</v>
      </c>
      <c r="G133" s="29" t="n">
        <v>21814.27</v>
      </c>
      <c r="H133" s="24" t="n"/>
      <c r="I133" s="24" t="n"/>
      <c r="J133" s="24" t="n"/>
      <c r="K133" s="25" t="n"/>
      <c r="L133" s="25" t="n"/>
      <c r="M133" s="25" t="n"/>
      <c r="N133" s="25" t="n"/>
    </row>
    <row r="134" ht="16.5" customHeight="1" s="56">
      <c r="A134" s="57" t="n">
        <v>45495</v>
      </c>
      <c r="B134" s="28" t="n">
        <v>22818.86</v>
      </c>
      <c r="C134" s="28" t="n">
        <v>22818.86</v>
      </c>
      <c r="D134" s="28" t="n">
        <v>22130.88</v>
      </c>
      <c r="E134" s="28" t="n">
        <v>22256.99</v>
      </c>
      <c r="F134" s="28" t="n">
        <v>-612.27</v>
      </c>
      <c r="G134" s="29" t="n">
        <v>21814.27</v>
      </c>
      <c r="H134" s="24" t="n"/>
      <c r="I134" s="24" t="n"/>
      <c r="J134" s="24" t="n"/>
      <c r="K134" s="25" t="n"/>
      <c r="L134" s="25" t="n"/>
      <c r="M134" s="25" t="n"/>
      <c r="N134" s="25" t="n"/>
    </row>
    <row r="135" ht="16.5" customHeight="1" s="56">
      <c r="A135" s="58" t="n">
        <v>45496</v>
      </c>
      <c r="B135" s="32" t="n">
        <v>22514.75</v>
      </c>
      <c r="C135" s="32" t="n">
        <v>22871.84</v>
      </c>
      <c r="D135" s="32" t="n">
        <v>22514.75</v>
      </c>
      <c r="E135" s="32" t="n">
        <v>22871.84</v>
      </c>
      <c r="F135" s="32" t="n">
        <v>614.85</v>
      </c>
      <c r="G135" s="29" t="n">
        <v>21814.27</v>
      </c>
      <c r="H135" s="24" t="n"/>
      <c r="I135" s="24" t="n"/>
      <c r="J135" s="24" t="n"/>
      <c r="K135" s="25" t="n"/>
      <c r="L135" s="25" t="n"/>
      <c r="M135" s="25" t="n"/>
      <c r="N135" s="25" t="n"/>
    </row>
    <row r="136" ht="16.5" customHeight="1" s="56">
      <c r="A136" s="57" t="n">
        <v>45499</v>
      </c>
      <c r="B136" s="28" t="n">
        <v>22206.93</v>
      </c>
      <c r="C136" s="28" t="n">
        <v>22206.93</v>
      </c>
      <c r="D136" s="28" t="n">
        <v>21889.61</v>
      </c>
      <c r="E136" s="28" t="n">
        <v>22119.21</v>
      </c>
      <c r="F136" s="28" t="n">
        <v>-752.63</v>
      </c>
      <c r="G136" s="29" t="n">
        <v>21814.27</v>
      </c>
      <c r="H136" s="24" t="n"/>
      <c r="I136" s="24" t="n"/>
      <c r="J136" s="24" t="n"/>
      <c r="K136" s="25" t="n"/>
      <c r="L136" s="25" t="n"/>
      <c r="M136" s="25" t="n"/>
      <c r="N136" s="25" t="n"/>
    </row>
    <row r="137" ht="16.5" customHeight="1" s="56">
      <c r="A137" s="58" t="n">
        <v>45502</v>
      </c>
      <c r="B137" s="32" t="n">
        <v>22321.37</v>
      </c>
      <c r="C137" s="32" t="n">
        <v>22471.4</v>
      </c>
      <c r="D137" s="32" t="n">
        <v>22128.14</v>
      </c>
      <c r="E137" s="32" t="n">
        <v>22164.49</v>
      </c>
      <c r="F137" s="32" t="n">
        <v>45.28</v>
      </c>
      <c r="G137" s="29" t="n">
        <v>21814.27</v>
      </c>
      <c r="H137" s="24" t="n"/>
      <c r="I137" s="24" t="n"/>
      <c r="J137" s="24" t="n"/>
      <c r="K137" s="25" t="n"/>
      <c r="L137" s="25" t="n"/>
      <c r="M137" s="25" t="n"/>
      <c r="N137" s="25" t="n"/>
    </row>
    <row r="138" ht="16.5" customHeight="1" s="56">
      <c r="A138" s="57" t="n">
        <v>45503</v>
      </c>
      <c r="B138" s="28" t="n">
        <v>22040.04</v>
      </c>
      <c r="C138" s="27" t="n">
        <v>22276.39</v>
      </c>
      <c r="D138" s="28" t="n">
        <v>21833.85</v>
      </c>
      <c r="E138" s="27" t="n">
        <v>22223.57</v>
      </c>
      <c r="F138" s="27" t="n">
        <v>59.08</v>
      </c>
      <c r="G138" s="29" t="n">
        <v>21814.27</v>
      </c>
      <c r="H138" s="24" t="n"/>
      <c r="I138" s="24" t="n"/>
      <c r="J138" s="24" t="n"/>
      <c r="K138" s="25" t="n"/>
      <c r="L138" s="25" t="n"/>
      <c r="M138" s="25" t="n"/>
      <c r="N138" s="25" t="n"/>
    </row>
    <row r="139" ht="16.5" customHeight="1" s="56">
      <c r="A139" s="58" t="n">
        <v>45504</v>
      </c>
      <c r="B139" s="31" t="n">
        <v>22088.78</v>
      </c>
      <c r="C139" s="32" t="n">
        <v>22315.31</v>
      </c>
      <c r="D139" s="31" t="n">
        <v>22046.29</v>
      </c>
      <c r="E139" s="31" t="n">
        <v>22199.35</v>
      </c>
      <c r="F139" s="31" t="n">
        <v>-24.22</v>
      </c>
      <c r="G139" s="29" t="n">
        <v>21814.27</v>
      </c>
      <c r="H139" s="24" t="n"/>
      <c r="I139" s="24" t="n"/>
      <c r="J139" s="24" t="n"/>
      <c r="K139" s="25" t="n"/>
      <c r="L139" s="25" t="n"/>
      <c r="M139" s="25" t="n"/>
      <c r="N139" s="25" t="n"/>
    </row>
    <row r="140" ht="16.5" customHeight="1" s="56">
      <c r="A140" s="57" t="n">
        <v>45505</v>
      </c>
      <c r="B140" s="27" t="n">
        <v>22546.4</v>
      </c>
      <c r="C140" s="27" t="n">
        <v>22652.21</v>
      </c>
      <c r="D140" s="27" t="n">
        <v>22465.06</v>
      </c>
      <c r="E140" s="27" t="n">
        <v>22642.1</v>
      </c>
      <c r="F140" s="27" t="n">
        <v>442.75</v>
      </c>
      <c r="G140" s="33" t="n">
        <v>22840.65</v>
      </c>
      <c r="H140" s="24" t="n"/>
      <c r="I140" s="24" t="n"/>
      <c r="J140" s="24" t="n"/>
      <c r="K140" s="25" t="n"/>
      <c r="L140" s="25" t="n"/>
      <c r="M140" s="25" t="n"/>
      <c r="N140" s="25" t="n"/>
    </row>
    <row r="141" ht="16.5" customHeight="1" s="56">
      <c r="A141" s="58" t="n">
        <v>45506</v>
      </c>
      <c r="B141" s="31" t="n">
        <v>22141.2</v>
      </c>
      <c r="C141" s="31" t="n">
        <v>22141.2</v>
      </c>
      <c r="D141" s="31" t="n">
        <v>21636.22</v>
      </c>
      <c r="E141" s="31" t="n">
        <v>21638.09</v>
      </c>
      <c r="F141" s="31" t="n">
        <v>-1004.01</v>
      </c>
      <c r="G141" s="33" t="n">
        <v>22840.65</v>
      </c>
      <c r="H141" s="24" t="n"/>
      <c r="I141" s="24" t="n"/>
      <c r="J141" s="24" t="n"/>
      <c r="K141" s="25" t="n"/>
      <c r="L141" s="25" t="n"/>
      <c r="M141" s="25" t="n"/>
      <c r="N141" s="25" t="n"/>
    </row>
    <row r="142" ht="16.5" customHeight="1" s="56">
      <c r="A142" s="57" t="n">
        <v>45509</v>
      </c>
      <c r="B142" s="28" t="n">
        <v>20982.92</v>
      </c>
      <c r="C142" s="28" t="n">
        <v>20982.92</v>
      </c>
      <c r="D142" s="28" t="n">
        <v>19783.5</v>
      </c>
      <c r="E142" s="28" t="n">
        <v>19830.88</v>
      </c>
      <c r="F142" s="28" t="n">
        <v>-1807.21</v>
      </c>
      <c r="G142" s="33" t="n">
        <v>22840.65</v>
      </c>
      <c r="H142" s="24" t="n"/>
      <c r="I142" s="24" t="n"/>
      <c r="J142" s="24" t="n"/>
      <c r="K142" s="25" t="n"/>
      <c r="L142" s="25" t="n"/>
      <c r="M142" s="25" t="n"/>
      <c r="N142" s="25" t="n"/>
    </row>
    <row r="143" ht="16.5" customHeight="1" s="56">
      <c r="A143" s="58" t="n">
        <v>45510</v>
      </c>
      <c r="B143" s="32" t="n">
        <v>20344.39</v>
      </c>
      <c r="C143" s="32" t="n">
        <v>20751.5</v>
      </c>
      <c r="D143" s="31" t="n">
        <v>19662.74</v>
      </c>
      <c r="E143" s="32" t="n">
        <v>20501.02</v>
      </c>
      <c r="F143" s="32" t="n">
        <v>670.14</v>
      </c>
      <c r="G143" s="33" t="n">
        <v>22840.65</v>
      </c>
      <c r="H143" s="24" t="n"/>
      <c r="I143" s="24" t="n"/>
      <c r="J143" s="24" t="n"/>
      <c r="K143" s="25" t="n"/>
      <c r="L143" s="25" t="n"/>
      <c r="M143" s="25" t="n"/>
      <c r="N143" s="25" t="n"/>
    </row>
    <row r="144" ht="16.5" customHeight="1" s="56">
      <c r="A144" s="57" t="n">
        <v>45511</v>
      </c>
      <c r="B144" s="27" t="n">
        <v>20638.28</v>
      </c>
      <c r="C144" s="27" t="n">
        <v>21306.23</v>
      </c>
      <c r="D144" s="27" t="n">
        <v>20638.28</v>
      </c>
      <c r="E144" s="27" t="n">
        <v>21295.28</v>
      </c>
      <c r="F144" s="27" t="n">
        <v>794.26</v>
      </c>
      <c r="G144" s="33" t="n">
        <v>22840.65</v>
      </c>
      <c r="H144" s="24" t="n"/>
      <c r="I144" s="24" t="n"/>
      <c r="J144" s="24" t="n"/>
      <c r="K144" s="25" t="n"/>
      <c r="L144" s="25" t="n"/>
      <c r="M144" s="25" t="n"/>
      <c r="N144" s="25" t="n"/>
    </row>
    <row r="145" ht="16.5" customHeight="1" s="56">
      <c r="A145" s="58" t="n">
        <v>45512</v>
      </c>
      <c r="B145" s="31" t="n">
        <v>21047.16</v>
      </c>
      <c r="C145" s="31" t="n">
        <v>21074.19</v>
      </c>
      <c r="D145" s="31" t="n">
        <v>20723.26</v>
      </c>
      <c r="E145" s="31" t="n">
        <v>20870.1</v>
      </c>
      <c r="F145" s="31" t="n">
        <v>-425.18</v>
      </c>
      <c r="G145" s="33" t="n">
        <v>22840.65</v>
      </c>
      <c r="H145" s="24" t="n"/>
      <c r="I145" s="24" t="n"/>
      <c r="J145" s="24" t="n"/>
      <c r="K145" s="25" t="n"/>
      <c r="L145" s="25" t="n"/>
      <c r="M145" s="25" t="n"/>
      <c r="N145" s="25" t="n"/>
    </row>
    <row r="146" ht="16.5" customHeight="1" s="56">
      <c r="A146" s="57" t="n">
        <v>45513</v>
      </c>
      <c r="B146" s="27" t="n">
        <v>21212</v>
      </c>
      <c r="C146" s="27" t="n">
        <v>21613.76</v>
      </c>
      <c r="D146" s="27" t="n">
        <v>21212</v>
      </c>
      <c r="E146" s="27" t="n">
        <v>21469</v>
      </c>
      <c r="F146" s="27" t="n">
        <v>598.9</v>
      </c>
      <c r="G146" s="33" t="n">
        <v>22840.65</v>
      </c>
      <c r="H146" s="24" t="n"/>
      <c r="I146" s="24" t="n"/>
      <c r="J146" s="24" t="n"/>
      <c r="K146" s="25" t="n"/>
      <c r="L146" s="25" t="n"/>
      <c r="M146" s="25" t="n"/>
      <c r="N146" s="25" t="n"/>
    </row>
    <row r="147" ht="16.5" customHeight="1" s="56">
      <c r="A147" s="58" t="n">
        <v>45516</v>
      </c>
      <c r="B147" s="32" t="n">
        <v>21598.93</v>
      </c>
      <c r="C147" s="32" t="n">
        <v>21897.98</v>
      </c>
      <c r="D147" s="32" t="n">
        <v>21598.93</v>
      </c>
      <c r="E147" s="32" t="n">
        <v>21773.26</v>
      </c>
      <c r="F147" s="32" t="n">
        <v>304.26</v>
      </c>
      <c r="G147" s="33" t="n">
        <v>22840.65</v>
      </c>
      <c r="H147" s="24" t="n"/>
      <c r="I147" s="24" t="n"/>
      <c r="J147" s="24" t="n"/>
      <c r="K147" s="25" t="n"/>
      <c r="L147" s="25" t="n"/>
      <c r="M147" s="25" t="n"/>
      <c r="N147" s="25" t="n"/>
    </row>
    <row r="148" ht="16.5" customHeight="1" s="56">
      <c r="A148" s="57" t="n">
        <v>45517</v>
      </c>
      <c r="B148" s="27" t="n">
        <v>21816.07</v>
      </c>
      <c r="C148" s="27" t="n">
        <v>21866.63</v>
      </c>
      <c r="D148" s="28" t="n">
        <v>21698.47</v>
      </c>
      <c r="E148" s="27" t="n">
        <v>21796.57</v>
      </c>
      <c r="F148" s="27" t="n">
        <v>23.31</v>
      </c>
      <c r="G148" s="33" t="n">
        <v>22840.65</v>
      </c>
      <c r="H148" s="24" t="n"/>
      <c r="I148" s="24" t="n"/>
      <c r="J148" s="24" t="n"/>
      <c r="K148" s="25" t="n"/>
      <c r="L148" s="25" t="n"/>
      <c r="M148" s="25" t="n"/>
      <c r="N148" s="25" t="n"/>
    </row>
    <row r="149" ht="16.5" customHeight="1" s="56">
      <c r="A149" s="58" t="n">
        <v>45518</v>
      </c>
      <c r="B149" s="32" t="n">
        <v>21952.03</v>
      </c>
      <c r="C149" s="32" t="n">
        <v>22155.29</v>
      </c>
      <c r="D149" s="32" t="n">
        <v>21942.22</v>
      </c>
      <c r="E149" s="32" t="n">
        <v>22027.25</v>
      </c>
      <c r="F149" s="32" t="n">
        <v>230.68</v>
      </c>
      <c r="G149" s="33" t="n">
        <v>22840.65</v>
      </c>
      <c r="H149" s="24" t="n"/>
      <c r="I149" s="24" t="n"/>
      <c r="J149" s="24" t="n"/>
      <c r="K149" s="25" t="n"/>
      <c r="L149" s="25" t="n"/>
      <c r="M149" s="25" t="n"/>
      <c r="N149" s="25" t="n"/>
    </row>
    <row r="150" ht="16.5" customHeight="1" s="56">
      <c r="A150" s="57" t="n">
        <v>45519</v>
      </c>
      <c r="B150" s="28" t="n">
        <v>22005.69</v>
      </c>
      <c r="C150" s="27" t="n">
        <v>22089.04</v>
      </c>
      <c r="D150" s="28" t="n">
        <v>21895.17</v>
      </c>
      <c r="E150" s="28" t="n">
        <v>21895.17</v>
      </c>
      <c r="F150" s="28" t="n">
        <v>-132.08</v>
      </c>
      <c r="G150" s="33" t="n">
        <v>22840.65</v>
      </c>
      <c r="H150" s="24" t="n"/>
      <c r="I150" s="24" t="n"/>
      <c r="J150" s="24" t="n"/>
      <c r="K150" s="25" t="n"/>
      <c r="L150" s="25" t="n"/>
      <c r="M150" s="25" t="n"/>
      <c r="N150" s="25" t="n"/>
    </row>
    <row r="151" ht="16.5" customHeight="1" s="56">
      <c r="A151" s="58" t="n">
        <v>45520</v>
      </c>
      <c r="B151" s="32" t="n">
        <v>22114.72</v>
      </c>
      <c r="C151" s="32" t="n">
        <v>22374.94</v>
      </c>
      <c r="D151" s="32" t="n">
        <v>22114.72</v>
      </c>
      <c r="E151" s="32" t="n">
        <v>22349.33</v>
      </c>
      <c r="F151" s="32" t="n">
        <v>454.16</v>
      </c>
      <c r="G151" s="33" t="n">
        <v>22840.65</v>
      </c>
      <c r="H151" s="24" t="n"/>
      <c r="I151" s="24" t="n"/>
      <c r="J151" s="24" t="n"/>
      <c r="K151" s="25" t="n"/>
      <c r="L151" s="25" t="n"/>
      <c r="M151" s="25" t="n"/>
      <c r="N151" s="25" t="n"/>
    </row>
    <row r="152" ht="16.5" customHeight="1" s="56">
      <c r="A152" s="57" t="n">
        <v>45523</v>
      </c>
      <c r="B152" s="28" t="n">
        <v>22338.83</v>
      </c>
      <c r="C152" s="27" t="n">
        <v>22485.91</v>
      </c>
      <c r="D152" s="28" t="n">
        <v>22307.17</v>
      </c>
      <c r="E152" s="27" t="n">
        <v>22409.63</v>
      </c>
      <c r="F152" s="27" t="n">
        <v>60.3</v>
      </c>
      <c r="G152" s="33" t="n">
        <v>22840.65</v>
      </c>
      <c r="H152" s="24" t="n"/>
      <c r="I152" s="24" t="n"/>
      <c r="J152" s="24" t="n"/>
      <c r="K152" s="25" t="n"/>
      <c r="L152" s="25" t="n"/>
      <c r="M152" s="25" t="n"/>
      <c r="N152" s="25" t="n"/>
    </row>
    <row r="153" ht="16.5" customHeight="1" s="56">
      <c r="A153" s="58" t="n">
        <v>45524</v>
      </c>
      <c r="B153" s="32" t="n">
        <v>22464.07</v>
      </c>
      <c r="C153" s="32" t="n">
        <v>22545.89</v>
      </c>
      <c r="D153" s="31" t="n">
        <v>22369.25</v>
      </c>
      <c r="E153" s="32" t="n">
        <v>22429.1</v>
      </c>
      <c r="F153" s="32" t="n">
        <v>19.47</v>
      </c>
      <c r="G153" s="33" t="n">
        <v>22840.65</v>
      </c>
      <c r="H153" s="24" t="n"/>
      <c r="I153" s="24" t="n"/>
      <c r="J153" s="24" t="n"/>
      <c r="K153" s="25" t="n"/>
      <c r="L153" s="25" t="n"/>
      <c r="M153" s="25" t="n"/>
      <c r="N153" s="25" t="n"/>
    </row>
    <row r="154" ht="16.5" customHeight="1" s="56">
      <c r="A154" s="57" t="n">
        <v>45525</v>
      </c>
      <c r="B154" s="28" t="n">
        <v>22316.78</v>
      </c>
      <c r="C154" s="28" t="n">
        <v>22358.88</v>
      </c>
      <c r="D154" s="28" t="n">
        <v>22165.82</v>
      </c>
      <c r="E154" s="28" t="n">
        <v>22237.89</v>
      </c>
      <c r="F154" s="28" t="n">
        <v>-191.21</v>
      </c>
      <c r="G154" s="33" t="n">
        <v>22840.65</v>
      </c>
      <c r="H154" s="24" t="n"/>
      <c r="I154" s="24" t="n"/>
      <c r="J154" s="24" t="n"/>
      <c r="K154" s="25" t="n"/>
      <c r="L154" s="25" t="n"/>
      <c r="M154" s="25" t="n"/>
      <c r="N154" s="25" t="n"/>
    </row>
    <row r="155" ht="16.5" customHeight="1" s="56">
      <c r="A155" s="58" t="n">
        <v>45526</v>
      </c>
      <c r="B155" s="32" t="n">
        <v>22254.59</v>
      </c>
      <c r="C155" s="32" t="n">
        <v>22315.92</v>
      </c>
      <c r="D155" s="31" t="n">
        <v>22096.26</v>
      </c>
      <c r="E155" s="31" t="n">
        <v>22148.83</v>
      </c>
      <c r="F155" s="31" t="n">
        <v>-89.06</v>
      </c>
      <c r="G155" s="33" t="n">
        <v>22840.65</v>
      </c>
      <c r="H155" s="24" t="n"/>
      <c r="I155" s="24" t="n"/>
      <c r="J155" s="24" t="n"/>
      <c r="K155" s="25" t="n"/>
      <c r="L155" s="25" t="n"/>
      <c r="M155" s="25" t="n"/>
      <c r="N155" s="25" t="n"/>
    </row>
    <row r="156" ht="16.5" customHeight="1" s="56">
      <c r="A156" s="57" t="n">
        <v>45527</v>
      </c>
      <c r="B156" s="28" t="n">
        <v>22042.59</v>
      </c>
      <c r="C156" s="27" t="n">
        <v>22159.27</v>
      </c>
      <c r="D156" s="28" t="n">
        <v>21935.98</v>
      </c>
      <c r="E156" s="27" t="n">
        <v>22158.05</v>
      </c>
      <c r="F156" s="27" t="n">
        <v>9.220000000000001</v>
      </c>
      <c r="G156" s="33" t="n">
        <v>22840.65</v>
      </c>
      <c r="H156" s="24" t="n"/>
      <c r="I156" s="24" t="n"/>
      <c r="J156" s="24" t="n"/>
      <c r="K156" s="25" t="n"/>
      <c r="L156" s="25" t="n"/>
      <c r="M156" s="25" t="n"/>
      <c r="N156" s="25" t="n"/>
    </row>
    <row r="157" ht="16.5" customHeight="1" s="56">
      <c r="A157" s="58" t="n">
        <v>45530</v>
      </c>
      <c r="B157" s="32" t="n">
        <v>22250.49</v>
      </c>
      <c r="C157" s="32" t="n">
        <v>22449.45</v>
      </c>
      <c r="D157" s="32" t="n">
        <v>22164.53</v>
      </c>
      <c r="E157" s="32" t="n">
        <v>22240.12</v>
      </c>
      <c r="F157" s="32" t="n">
        <v>82.06999999999999</v>
      </c>
      <c r="G157" s="33" t="n">
        <v>22840.65</v>
      </c>
      <c r="H157" s="24" t="n"/>
      <c r="I157" s="24" t="n"/>
      <c r="J157" s="24" t="n"/>
      <c r="K157" s="25" t="n"/>
      <c r="L157" s="25" t="n"/>
      <c r="M157" s="25" t="n"/>
      <c r="N157" s="25" t="n"/>
    </row>
    <row r="158" ht="16.5" customHeight="1" s="56">
      <c r="A158" s="57" t="n">
        <v>45531</v>
      </c>
      <c r="B158" s="28" t="n">
        <v>22179.21</v>
      </c>
      <c r="C158" s="28" t="n">
        <v>22205.11</v>
      </c>
      <c r="D158" s="28" t="n">
        <v>22059.51</v>
      </c>
      <c r="E158" s="28" t="n">
        <v>22185</v>
      </c>
      <c r="F158" s="28" t="n">
        <v>-55.12</v>
      </c>
      <c r="G158" s="33" t="n">
        <v>22840.65</v>
      </c>
      <c r="H158" s="24" t="n"/>
      <c r="I158" s="24" t="n"/>
      <c r="J158" s="24" t="n"/>
      <c r="K158" s="25" t="n"/>
      <c r="L158" s="25" t="n"/>
      <c r="M158" s="25" t="n"/>
      <c r="N158" s="25" t="n"/>
    </row>
    <row r="159" ht="16.5" customHeight="1" s="56">
      <c r="A159" s="58" t="n">
        <v>45532</v>
      </c>
      <c r="B159" s="32" t="n">
        <v>22210.57</v>
      </c>
      <c r="C159" s="32" t="n">
        <v>22370.66</v>
      </c>
      <c r="D159" s="31" t="n">
        <v>22108.86</v>
      </c>
      <c r="E159" s="32" t="n">
        <v>22370.66</v>
      </c>
      <c r="F159" s="32" t="n">
        <v>185.66</v>
      </c>
      <c r="G159" s="33" t="n">
        <v>22840.65</v>
      </c>
      <c r="H159" s="24" t="n"/>
      <c r="I159" s="24" t="n"/>
      <c r="J159" s="24" t="n"/>
      <c r="K159" s="25" t="n"/>
      <c r="L159" s="25" t="n"/>
      <c r="M159" s="25" t="n"/>
      <c r="N159" s="25" t="n"/>
    </row>
    <row r="160" ht="16.5" customHeight="1" s="56">
      <c r="A160" s="57" t="n">
        <v>45533</v>
      </c>
      <c r="B160" s="28" t="n">
        <v>22136.31</v>
      </c>
      <c r="C160" s="28" t="n">
        <v>22273.62</v>
      </c>
      <c r="D160" s="28" t="n">
        <v>22010.89</v>
      </c>
      <c r="E160" s="28" t="n">
        <v>22201.85</v>
      </c>
      <c r="F160" s="28" t="n">
        <v>-168.81</v>
      </c>
      <c r="G160" s="33" t="n">
        <v>22840.65</v>
      </c>
      <c r="H160" s="24" t="n"/>
      <c r="I160" s="24" t="n"/>
      <c r="J160" s="24" t="n"/>
      <c r="K160" s="25" t="n"/>
      <c r="L160" s="25" t="n"/>
      <c r="M160" s="25" t="n"/>
      <c r="N160" s="25" t="n"/>
    </row>
    <row r="161" ht="16.5" customHeight="1" s="56">
      <c r="A161" s="58" t="n">
        <v>45534</v>
      </c>
      <c r="B161" s="32" t="n">
        <v>22230.07</v>
      </c>
      <c r="C161" s="32" t="n">
        <v>22342.25</v>
      </c>
      <c r="D161" s="32" t="n">
        <v>22230.07</v>
      </c>
      <c r="E161" s="32" t="n">
        <v>22268.09</v>
      </c>
      <c r="F161" s="32" t="n">
        <v>66.23999999999999</v>
      </c>
      <c r="G161" s="33" t="n">
        <v>22840.65</v>
      </c>
      <c r="H161" s="24" t="n"/>
      <c r="I161" s="24" t="n"/>
      <c r="J161" s="24" t="n"/>
      <c r="K161" s="25" t="n"/>
      <c r="L161" s="25" t="n"/>
      <c r="M161" s="25" t="n"/>
      <c r="N161" s="25" t="n"/>
    </row>
    <row r="162" ht="16.5" customHeight="1" s="56">
      <c r="A162" s="57" t="n">
        <v>45537</v>
      </c>
      <c r="B162" s="27" t="n">
        <v>22341.9</v>
      </c>
      <c r="C162" s="27" t="n">
        <v>22439.31</v>
      </c>
      <c r="D162" s="28" t="n">
        <v>22178.04</v>
      </c>
      <c r="E162" s="28" t="n">
        <v>22235.1</v>
      </c>
      <c r="F162" s="28" t="n">
        <v>-32.99</v>
      </c>
      <c r="G162" s="29" t="n">
        <v>22039.705</v>
      </c>
      <c r="H162" s="24" t="n"/>
      <c r="I162" s="24" t="n"/>
      <c r="J162" s="24" t="n"/>
      <c r="K162" s="25" t="n"/>
      <c r="L162" s="25" t="n"/>
      <c r="M162" s="25" t="n"/>
      <c r="N162" s="25" t="n"/>
    </row>
    <row r="163" ht="16.5" customHeight="1" s="56">
      <c r="A163" s="58" t="n">
        <v>45538</v>
      </c>
      <c r="B163" s="32" t="n">
        <v>22240.11</v>
      </c>
      <c r="C163" s="32" t="n">
        <v>22303.5</v>
      </c>
      <c r="D163" s="31" t="n">
        <v>22092.21</v>
      </c>
      <c r="E163" s="31" t="n">
        <v>22092.21</v>
      </c>
      <c r="F163" s="31" t="n">
        <v>-142.89</v>
      </c>
      <c r="G163" s="29" t="n">
        <v>22039.705</v>
      </c>
      <c r="H163" s="24" t="n"/>
      <c r="I163" s="24" t="n"/>
      <c r="J163" s="24" t="n"/>
      <c r="K163" s="25" t="n"/>
      <c r="L163" s="25" t="n"/>
      <c r="M163" s="25" t="n"/>
      <c r="N163" s="25" t="n"/>
    </row>
    <row r="164" ht="16.5" customHeight="1" s="56">
      <c r="A164" s="57" t="n">
        <v>45539</v>
      </c>
      <c r="B164" s="28" t="n">
        <v>21574.65</v>
      </c>
      <c r="C164" s="28" t="n">
        <v>21574.65</v>
      </c>
      <c r="D164" s="28" t="n">
        <v>20922.17</v>
      </c>
      <c r="E164" s="28" t="n">
        <v>21092.75</v>
      </c>
      <c r="F164" s="28" t="n">
        <v>-999.46</v>
      </c>
      <c r="G164" s="29" t="n">
        <v>22039.705</v>
      </c>
      <c r="H164" s="24" t="n"/>
      <c r="I164" s="24" t="n"/>
      <c r="J164" s="24" t="n"/>
      <c r="K164" s="25" t="n"/>
      <c r="L164" s="25" t="n"/>
      <c r="M164" s="25" t="n"/>
      <c r="N164" s="25" t="n"/>
    </row>
    <row r="165" ht="16.5" customHeight="1" s="56">
      <c r="A165" s="58" t="n">
        <v>45540</v>
      </c>
      <c r="B165" s="32" t="n">
        <v>21271.09</v>
      </c>
      <c r="C165" s="32" t="n">
        <v>21488.81</v>
      </c>
      <c r="D165" s="32" t="n">
        <v>21150.99</v>
      </c>
      <c r="E165" s="32" t="n">
        <v>21187.71</v>
      </c>
      <c r="F165" s="32" t="n">
        <v>94.95999999999999</v>
      </c>
      <c r="G165" s="29" t="n">
        <v>22039.705</v>
      </c>
      <c r="H165" s="24" t="n"/>
      <c r="I165" s="24" t="n"/>
      <c r="J165" s="24" t="n"/>
      <c r="K165" s="25" t="n"/>
      <c r="L165" s="25" t="n"/>
      <c r="M165" s="25" t="n"/>
      <c r="N165" s="25" t="n"/>
    </row>
    <row r="166" ht="16.5" customHeight="1" s="56">
      <c r="A166" s="57" t="n">
        <v>45541</v>
      </c>
      <c r="B166" s="27" t="n">
        <v>21255.45</v>
      </c>
      <c r="C166" s="27" t="n">
        <v>21461.71</v>
      </c>
      <c r="D166" s="28" t="n">
        <v>21125.14</v>
      </c>
      <c r="E166" s="27" t="n">
        <v>21435.19</v>
      </c>
      <c r="F166" s="27" t="n">
        <v>247.48</v>
      </c>
      <c r="G166" s="29" t="n">
        <v>22039.705</v>
      </c>
      <c r="H166" s="24" t="n"/>
      <c r="I166" s="24" t="n"/>
      <c r="J166" s="24" t="n"/>
      <c r="K166" s="25" t="n"/>
      <c r="L166" s="25" t="n"/>
      <c r="M166" s="25" t="n"/>
      <c r="N166" s="25" t="n"/>
    </row>
    <row r="167" ht="16.5" customHeight="1" s="56">
      <c r="A167" s="58" t="n">
        <v>45544</v>
      </c>
      <c r="B167" s="31" t="n">
        <v>21127.81</v>
      </c>
      <c r="C167" s="31" t="n">
        <v>21163.91</v>
      </c>
      <c r="D167" s="31" t="n">
        <v>20922.51</v>
      </c>
      <c r="E167" s="31" t="n">
        <v>21144.44</v>
      </c>
      <c r="F167" s="31" t="n">
        <v>-290.75</v>
      </c>
      <c r="G167" s="29" t="n">
        <v>22039.705</v>
      </c>
      <c r="H167" s="24" t="n"/>
      <c r="I167" s="24" t="n"/>
      <c r="J167" s="24" t="n"/>
      <c r="K167" s="25" t="n"/>
      <c r="L167" s="25" t="n"/>
      <c r="M167" s="25" t="n"/>
      <c r="N167" s="25" t="n"/>
    </row>
    <row r="168" ht="16.5" customHeight="1" s="56">
      <c r="A168" s="57" t="n">
        <v>45545</v>
      </c>
      <c r="B168" s="27" t="n">
        <v>21252.57</v>
      </c>
      <c r="C168" s="27" t="n">
        <v>21324.43</v>
      </c>
      <c r="D168" s="28" t="n">
        <v>20977</v>
      </c>
      <c r="E168" s="28" t="n">
        <v>21064.08</v>
      </c>
      <c r="F168" s="28" t="n">
        <v>-80.36</v>
      </c>
      <c r="G168" s="29" t="n">
        <v>22039.705</v>
      </c>
      <c r="H168" s="24" t="n"/>
      <c r="I168" s="24" t="n"/>
      <c r="J168" s="24" t="n"/>
      <c r="K168" s="25" t="n"/>
      <c r="L168" s="25" t="n"/>
      <c r="M168" s="25" t="n"/>
      <c r="N168" s="25" t="n"/>
    </row>
    <row r="169" ht="16.5" customHeight="1" s="56">
      <c r="A169" s="58" t="n">
        <v>45546</v>
      </c>
      <c r="B169" s="32" t="n">
        <v>21089.18</v>
      </c>
      <c r="C169" s="32" t="n">
        <v>21134.05</v>
      </c>
      <c r="D169" s="31" t="n">
        <v>21031</v>
      </c>
      <c r="E169" s="31" t="n">
        <v>21031</v>
      </c>
      <c r="F169" s="31" t="n">
        <v>-33.08</v>
      </c>
      <c r="G169" s="29" t="n">
        <v>22039.705</v>
      </c>
      <c r="H169" s="24" t="n"/>
      <c r="I169" s="24" t="n"/>
      <c r="J169" s="24" t="n"/>
      <c r="K169" s="25" t="n"/>
      <c r="L169" s="25" t="n"/>
      <c r="M169" s="25" t="n"/>
      <c r="N169" s="25" t="n"/>
    </row>
    <row r="170" ht="16.5" customHeight="1" s="56">
      <c r="A170" s="57" t="n">
        <v>45547</v>
      </c>
      <c r="B170" s="27" t="n">
        <v>21373.64</v>
      </c>
      <c r="C170" s="27" t="n">
        <v>21706.85</v>
      </c>
      <c r="D170" s="27" t="n">
        <v>21373.64</v>
      </c>
      <c r="E170" s="27" t="n">
        <v>21653.25</v>
      </c>
      <c r="F170" s="27" t="n">
        <v>622.25</v>
      </c>
      <c r="G170" s="29" t="n">
        <v>22039.705</v>
      </c>
      <c r="H170" s="24" t="n"/>
      <c r="I170" s="24" t="n"/>
      <c r="J170" s="24" t="n"/>
      <c r="K170" s="25" t="n"/>
      <c r="L170" s="25" t="n"/>
      <c r="M170" s="25" t="n"/>
      <c r="N170" s="25" t="n"/>
    </row>
    <row r="171" ht="16.5" customHeight="1" s="56">
      <c r="A171" s="58" t="n">
        <v>45548</v>
      </c>
      <c r="B171" s="32" t="n">
        <v>21754.36</v>
      </c>
      <c r="C171" s="32" t="n">
        <v>21796.39</v>
      </c>
      <c r="D171" s="31" t="n">
        <v>21643.22</v>
      </c>
      <c r="E171" s="32" t="n">
        <v>21759.65</v>
      </c>
      <c r="F171" s="32" t="n">
        <v>106.4</v>
      </c>
      <c r="G171" s="29" t="n">
        <v>22039.705</v>
      </c>
      <c r="H171" s="24" t="n"/>
      <c r="I171" s="24" t="n"/>
      <c r="J171" s="24" t="n"/>
      <c r="K171" s="25" t="n"/>
      <c r="L171" s="25" t="n"/>
      <c r="M171" s="25" t="n"/>
      <c r="N171" s="25" t="n"/>
    </row>
    <row r="172" ht="16.5" customHeight="1" s="56">
      <c r="A172" s="57" t="n">
        <v>45551</v>
      </c>
      <c r="B172" s="27" t="n">
        <v>21800</v>
      </c>
      <c r="C172" s="27" t="n">
        <v>21854.74</v>
      </c>
      <c r="D172" s="28" t="n">
        <v>21736.7</v>
      </c>
      <c r="E172" s="27" t="n">
        <v>21850.08</v>
      </c>
      <c r="F172" s="27" t="n">
        <v>90.43000000000001</v>
      </c>
      <c r="G172" s="29" t="n">
        <v>22039.705</v>
      </c>
      <c r="H172" s="24" t="n"/>
      <c r="I172" s="24" t="n"/>
      <c r="J172" s="24" t="n"/>
      <c r="K172" s="25" t="n"/>
      <c r="L172" s="25" t="n"/>
      <c r="M172" s="25" t="n"/>
      <c r="N172" s="25" t="n"/>
    </row>
    <row r="173" ht="16.5" customHeight="1" s="56">
      <c r="A173" s="58" t="n">
        <v>45553</v>
      </c>
      <c r="B173" s="31" t="n">
        <v>21813.54</v>
      </c>
      <c r="C173" s="32" t="n">
        <v>21859.16</v>
      </c>
      <c r="D173" s="31" t="n">
        <v>21584.63</v>
      </c>
      <c r="E173" s="31" t="n">
        <v>21678.84</v>
      </c>
      <c r="F173" s="31" t="n">
        <v>-171.24</v>
      </c>
      <c r="G173" s="29" t="n">
        <v>22039.705</v>
      </c>
      <c r="H173" s="24" t="n"/>
      <c r="I173" s="24" t="n"/>
      <c r="J173" s="24" t="n"/>
      <c r="K173" s="25" t="n"/>
      <c r="L173" s="25" t="n"/>
      <c r="M173" s="25" t="n"/>
      <c r="N173" s="25" t="n"/>
    </row>
    <row r="174" ht="16.5" customHeight="1" s="56">
      <c r="A174" s="57" t="n">
        <v>45554</v>
      </c>
      <c r="B174" s="28" t="n">
        <v>21675.4</v>
      </c>
      <c r="C174" s="27" t="n">
        <v>22042.69</v>
      </c>
      <c r="D174" s="28" t="n">
        <v>21656.66</v>
      </c>
      <c r="E174" s="27" t="n">
        <v>22042.69</v>
      </c>
      <c r="F174" s="27" t="n">
        <v>363.85</v>
      </c>
      <c r="G174" s="29" t="n">
        <v>22039.705</v>
      </c>
      <c r="H174" s="24" t="n"/>
      <c r="I174" s="24" t="n"/>
      <c r="J174" s="24" t="n"/>
      <c r="K174" s="25" t="n"/>
      <c r="L174" s="25" t="n"/>
      <c r="M174" s="25" t="n"/>
      <c r="N174" s="25" t="n"/>
    </row>
    <row r="175" ht="16.5" customHeight="1" s="56">
      <c r="A175" s="58" t="n">
        <v>45555</v>
      </c>
      <c r="B175" s="32" t="n">
        <v>22246.24</v>
      </c>
      <c r="C175" s="32" t="n">
        <v>22354.54</v>
      </c>
      <c r="D175" s="32" t="n">
        <v>22136.53</v>
      </c>
      <c r="E175" s="32" t="n">
        <v>22159.42</v>
      </c>
      <c r="F175" s="32" t="n">
        <v>116.73</v>
      </c>
      <c r="G175" s="29" t="n">
        <v>22039.705</v>
      </c>
      <c r="H175" s="24" t="n"/>
      <c r="I175" s="24" t="n"/>
      <c r="J175" s="24" t="n"/>
      <c r="K175" s="25" t="n"/>
      <c r="L175" s="25" t="n"/>
      <c r="M175" s="25" t="n"/>
      <c r="N175" s="25" t="n"/>
    </row>
    <row r="176" ht="16.5" customHeight="1" s="56">
      <c r="A176" s="57" t="n">
        <v>45558</v>
      </c>
      <c r="B176" s="27" t="n">
        <v>22170.94</v>
      </c>
      <c r="C176" s="27" t="n">
        <v>22307.46</v>
      </c>
      <c r="D176" s="27" t="n">
        <v>22170.94</v>
      </c>
      <c r="E176" s="27" t="n">
        <v>22285.53</v>
      </c>
      <c r="F176" s="27" t="n">
        <v>126.11</v>
      </c>
      <c r="G176" s="29" t="n">
        <v>22039.705</v>
      </c>
      <c r="H176" s="24" t="n"/>
      <c r="I176" s="24" t="n"/>
      <c r="J176" s="24" t="n"/>
      <c r="K176" s="25" t="n"/>
      <c r="L176" s="25" t="n"/>
      <c r="M176" s="25" t="n"/>
      <c r="N176" s="25" t="n"/>
    </row>
    <row r="177" ht="16.5" customHeight="1" s="56">
      <c r="A177" s="58" t="n">
        <v>45559</v>
      </c>
      <c r="B177" s="31" t="n">
        <v>22273.79</v>
      </c>
      <c r="C177" s="32" t="n">
        <v>22431.78</v>
      </c>
      <c r="D177" s="31" t="n">
        <v>22154.55</v>
      </c>
      <c r="E177" s="32" t="n">
        <v>22431.78</v>
      </c>
      <c r="F177" s="32" t="n">
        <v>146.25</v>
      </c>
      <c r="G177" s="29" t="n">
        <v>22039.705</v>
      </c>
      <c r="H177" s="24" t="n"/>
      <c r="I177" s="24" t="n"/>
      <c r="J177" s="24" t="n"/>
      <c r="K177" s="25" t="n"/>
      <c r="L177" s="25" t="n"/>
      <c r="M177" s="25" t="n"/>
      <c r="N177" s="25" t="n"/>
    </row>
    <row r="178" ht="16.5" customHeight="1" s="56">
      <c r="A178" s="57" t="n">
        <v>45560</v>
      </c>
      <c r="B178" s="27" t="n">
        <v>22569.29</v>
      </c>
      <c r="C178" s="27" t="n">
        <v>22785.32</v>
      </c>
      <c r="D178" s="27" t="n">
        <v>22569.29</v>
      </c>
      <c r="E178" s="27" t="n">
        <v>22761.6</v>
      </c>
      <c r="F178" s="27" t="n">
        <v>329.82</v>
      </c>
      <c r="G178" s="29" t="n">
        <v>22039.705</v>
      </c>
      <c r="H178" s="24" t="n"/>
      <c r="I178" s="24" t="n"/>
      <c r="J178" s="24" t="n"/>
      <c r="K178" s="25" t="n"/>
      <c r="L178" s="25" t="n"/>
      <c r="M178" s="25" t="n"/>
      <c r="N178" s="25" t="n"/>
    </row>
    <row r="179" ht="16.5" customHeight="1" s="56">
      <c r="A179" s="58" t="n">
        <v>45561</v>
      </c>
      <c r="B179" s="32" t="n">
        <v>22841.42</v>
      </c>
      <c r="C179" s="32" t="n">
        <v>22961.77</v>
      </c>
      <c r="D179" s="32" t="n">
        <v>22769.24</v>
      </c>
      <c r="E179" s="32" t="n">
        <v>22858.81</v>
      </c>
      <c r="F179" s="32" t="n">
        <v>97.20999999999999</v>
      </c>
      <c r="G179" s="29" t="n">
        <v>22039.705</v>
      </c>
      <c r="H179" s="24" t="n"/>
      <c r="I179" s="24" t="n"/>
      <c r="J179" s="24" t="n"/>
      <c r="K179" s="25" t="n"/>
      <c r="L179" s="25" t="n"/>
      <c r="M179" s="25" t="n"/>
      <c r="N179" s="25" t="n"/>
    </row>
    <row r="180" ht="16.5" customHeight="1" s="56">
      <c r="A180" s="57" t="n">
        <v>45562</v>
      </c>
      <c r="B180" s="27" t="n">
        <v>22978.97</v>
      </c>
      <c r="C180" s="27" t="n">
        <v>23079.21</v>
      </c>
      <c r="D180" s="28" t="n">
        <v>22806.83</v>
      </c>
      <c r="E180" s="28" t="n">
        <v>22822.79</v>
      </c>
      <c r="F180" s="28" t="n">
        <v>-36.02</v>
      </c>
      <c r="G180" s="29" t="n">
        <v>22039.705</v>
      </c>
      <c r="H180" s="24" t="n"/>
      <c r="I180" s="24" t="n"/>
      <c r="J180" s="24" t="n"/>
      <c r="K180" s="25" t="n"/>
      <c r="L180" s="25" t="n"/>
      <c r="M180" s="25" t="n"/>
      <c r="N180" s="25" t="n"/>
    </row>
    <row r="181" ht="16.5" customHeight="1" s="56">
      <c r="A181" s="58" t="n">
        <v>45565</v>
      </c>
      <c r="B181" s="31" t="n">
        <v>22643.91</v>
      </c>
      <c r="C181" s="31" t="n">
        <v>22691.23</v>
      </c>
      <c r="D181" s="31" t="n">
        <v>22224.54</v>
      </c>
      <c r="E181" s="31" t="n">
        <v>22224.54</v>
      </c>
      <c r="F181" s="31" t="n">
        <v>-598.25</v>
      </c>
      <c r="G181" s="29" t="n">
        <v>22039.705</v>
      </c>
      <c r="H181" s="24" t="n"/>
      <c r="I181" s="24" t="n"/>
      <c r="J181" s="24" t="n"/>
      <c r="K181" s="25" t="n"/>
      <c r="L181" s="25" t="n"/>
      <c r="M181" s="25" t="n"/>
      <c r="N181" s="25" t="n"/>
    </row>
    <row r="182" ht="16.5" customHeight="1" s="56">
      <c r="A182" s="58" t="n">
        <v>45566</v>
      </c>
      <c r="B182" s="32" t="n">
        <v>22329.65</v>
      </c>
      <c r="C182" s="32" t="n">
        <v>22446.86</v>
      </c>
      <c r="D182" s="32" t="n">
        <v>22311.33</v>
      </c>
      <c r="E182" s="32" t="n">
        <v>22390.39</v>
      </c>
      <c r="F182" s="32" t="n">
        <v>165.85</v>
      </c>
      <c r="G182" s="33" t="n">
        <v>21370.975</v>
      </c>
      <c r="H182" s="24">
        <f>E182-G182</f>
        <v/>
      </c>
      <c r="I182" s="34">
        <f>H182/1000</f>
        <v/>
      </c>
      <c r="J182" s="34" t="n"/>
      <c r="K182" s="25" t="n"/>
      <c r="L182" s="25" t="n"/>
      <c r="M182" s="25" t="n"/>
      <c r="N182" s="25" t="n"/>
    </row>
    <row r="183" ht="16.5" customHeight="1" s="56">
      <c r="A183" s="57" t="n">
        <v>45569</v>
      </c>
      <c r="B183" s="27" t="n">
        <v>22459.1</v>
      </c>
      <c r="C183" s="27" t="n">
        <v>22493.05</v>
      </c>
      <c r="D183" s="28" t="n">
        <v>22193.5</v>
      </c>
      <c r="E183" s="28" t="n">
        <v>22302.71</v>
      </c>
      <c r="F183" s="28" t="n">
        <v>-87.68000000000001</v>
      </c>
      <c r="G183" s="33" t="n">
        <v>21370.975</v>
      </c>
      <c r="H183" s="24">
        <f>E183-G183</f>
        <v/>
      </c>
      <c r="I183" s="34">
        <f>H183/1000</f>
        <v/>
      </c>
      <c r="J183" s="34">
        <f>AVERAGE(I182:I183)</f>
        <v/>
      </c>
      <c r="K183" s="25" t="n"/>
      <c r="L183" s="25" t="n"/>
      <c r="M183" s="25" t="n"/>
      <c r="N183" s="25" t="n"/>
    </row>
    <row r="184" ht="16.5" customHeight="1" s="56">
      <c r="A184" s="58" t="n">
        <v>45572</v>
      </c>
      <c r="B184" s="32" t="n">
        <v>22479.24</v>
      </c>
      <c r="C184" s="32" t="n">
        <v>22719.07</v>
      </c>
      <c r="D184" s="32" t="n">
        <v>22479.24</v>
      </c>
      <c r="E184" s="32" t="n">
        <v>22702.56</v>
      </c>
      <c r="F184" s="32" t="n">
        <v>399.85</v>
      </c>
      <c r="G184" s="33" t="n">
        <v>21370.975</v>
      </c>
      <c r="H184" s="24">
        <f>E184-G184</f>
        <v/>
      </c>
      <c r="I184" s="34">
        <f>H184/1000</f>
        <v/>
      </c>
      <c r="J184" s="34">
        <f>AVERAGE(I183:I184)</f>
        <v/>
      </c>
      <c r="K184" s="25" t="n"/>
      <c r="L184" s="25" t="n"/>
      <c r="M184" s="25" t="n"/>
      <c r="N184" s="25" t="n"/>
    </row>
    <row r="185" ht="16.5" customHeight="1" s="56">
      <c r="A185" s="57" t="n">
        <v>45573</v>
      </c>
      <c r="B185" s="28" t="n">
        <v>22691.32</v>
      </c>
      <c r="C185" s="28" t="n">
        <v>22691.32</v>
      </c>
      <c r="D185" s="28" t="n">
        <v>22418.38</v>
      </c>
      <c r="E185" s="28" t="n">
        <v>22611.39</v>
      </c>
      <c r="F185" s="28" t="n">
        <v>-91.17</v>
      </c>
      <c r="G185" s="33" t="n">
        <v>21370.975</v>
      </c>
      <c r="H185" s="24">
        <f>E185-G185</f>
        <v/>
      </c>
      <c r="I185" s="34">
        <f>H185/1000</f>
        <v/>
      </c>
      <c r="J185" s="34">
        <f>AVERAGE(I184:I185)</f>
        <v/>
      </c>
      <c r="K185" s="25" t="n"/>
      <c r="L185" s="25" t="n"/>
      <c r="M185" s="25" t="n"/>
      <c r="N185" s="25" t="n"/>
    </row>
    <row r="186" ht="16.5" customHeight="1" s="56">
      <c r="A186" s="58" t="n">
        <v>45574</v>
      </c>
      <c r="B186" s="32" t="n">
        <v>22637.17</v>
      </c>
      <c r="C186" s="32" t="n">
        <v>22885.95</v>
      </c>
      <c r="D186" s="32" t="n">
        <v>22637.17</v>
      </c>
      <c r="E186" s="32" t="n">
        <v>22659.08</v>
      </c>
      <c r="F186" s="32" t="n">
        <v>47.69</v>
      </c>
      <c r="G186" s="33" t="n">
        <v>21370.975</v>
      </c>
      <c r="H186" s="24">
        <f>E186-G186</f>
        <v/>
      </c>
      <c r="I186" s="34">
        <f>H186/1000</f>
        <v/>
      </c>
      <c r="J186" s="34">
        <f>AVERAGE(I185:I186)</f>
        <v/>
      </c>
      <c r="K186" s="25" t="n"/>
      <c r="L186" s="25" t="n"/>
      <c r="M186" s="25" t="n"/>
      <c r="N186" s="25" t="n"/>
    </row>
    <row r="187" ht="16.5" customHeight="1" s="56">
      <c r="A187" s="57" t="n">
        <v>45576</v>
      </c>
      <c r="B187" s="27" t="n">
        <v>22726.19</v>
      </c>
      <c r="C187" s="27" t="n">
        <v>23011.11</v>
      </c>
      <c r="D187" s="27" t="n">
        <v>22726.19</v>
      </c>
      <c r="E187" s="27" t="n">
        <v>22901.64</v>
      </c>
      <c r="F187" s="27" t="n">
        <v>242.56</v>
      </c>
      <c r="G187" s="33" t="n">
        <v>21370.975</v>
      </c>
      <c r="H187" s="24">
        <f>E187-G187</f>
        <v/>
      </c>
      <c r="I187" s="34">
        <f>H187/1000</f>
        <v/>
      </c>
      <c r="J187" s="34">
        <f>AVERAGE(I186:I187)</f>
        <v/>
      </c>
      <c r="K187" s="25" t="n"/>
      <c r="L187" s="25" t="n"/>
      <c r="M187" s="25" t="n"/>
      <c r="N187" s="25" t="n"/>
    </row>
    <row r="188" ht="16.5" customHeight="1" s="56">
      <c r="A188" s="58" t="n">
        <v>45579</v>
      </c>
      <c r="B188" s="32" t="n">
        <v>22947.32</v>
      </c>
      <c r="C188" s="32" t="n">
        <v>23015.55</v>
      </c>
      <c r="D188" s="31" t="n">
        <v>22799.14</v>
      </c>
      <c r="E188" s="32" t="n">
        <v>22975.29</v>
      </c>
      <c r="F188" s="32" t="n">
        <v>73.65000000000001</v>
      </c>
      <c r="G188" s="33" t="n">
        <v>21370.975</v>
      </c>
      <c r="H188" s="24">
        <f>E188-G188</f>
        <v/>
      </c>
      <c r="I188" s="34">
        <f>H188/1000</f>
        <v/>
      </c>
      <c r="J188" s="34">
        <f>AVERAGE(I187:I188)</f>
        <v/>
      </c>
      <c r="K188" s="25" t="n"/>
      <c r="L188" s="25" t="n"/>
      <c r="M188" s="25" t="n"/>
      <c r="N188" s="25" t="n"/>
    </row>
    <row r="189" ht="16.5" customHeight="1" s="56">
      <c r="A189" s="57" t="n">
        <v>45580</v>
      </c>
      <c r="B189" s="27" t="n">
        <v>23083.7</v>
      </c>
      <c r="C189" s="27" t="n">
        <v>23353.91</v>
      </c>
      <c r="D189" s="27" t="n">
        <v>23082.06</v>
      </c>
      <c r="E189" s="27" t="n">
        <v>23292.04</v>
      </c>
      <c r="F189" s="27" t="n">
        <v>316.75</v>
      </c>
      <c r="G189" s="33" t="n">
        <v>21370.975</v>
      </c>
      <c r="H189" s="24">
        <f>E189-G189</f>
        <v/>
      </c>
      <c r="I189" s="34">
        <f>H189/1000</f>
        <v/>
      </c>
      <c r="J189" s="34">
        <f>AVERAGE(I188:I189)</f>
        <v/>
      </c>
      <c r="K189" s="25" t="n"/>
      <c r="L189" s="25" t="n"/>
      <c r="M189" s="25" t="n"/>
      <c r="N189" s="25" t="n"/>
    </row>
    <row r="190" ht="16.5" customHeight="1" s="56">
      <c r="A190" s="58" t="n">
        <v>45581</v>
      </c>
      <c r="B190" s="31" t="n">
        <v>22990.64</v>
      </c>
      <c r="C190" s="31" t="n">
        <v>23258.52</v>
      </c>
      <c r="D190" s="31" t="n">
        <v>22866.73</v>
      </c>
      <c r="E190" s="31" t="n">
        <v>23010.98</v>
      </c>
      <c r="F190" s="31" t="n">
        <v>-281.06</v>
      </c>
      <c r="G190" s="33" t="n">
        <v>21370.975</v>
      </c>
      <c r="H190" s="24">
        <f>E190-G190</f>
        <v/>
      </c>
      <c r="I190" s="34">
        <f>H190/1000</f>
        <v/>
      </c>
      <c r="J190" s="34">
        <f>AVERAGE(I189:I190)</f>
        <v/>
      </c>
      <c r="K190" s="25" t="n"/>
      <c r="L190" s="25" t="n"/>
      <c r="M190" s="25" t="n"/>
      <c r="N190" s="25" t="n"/>
    </row>
    <row r="191" ht="16.5" customHeight="1" s="56">
      <c r="A191" s="57" t="n">
        <v>45582</v>
      </c>
      <c r="B191" s="27" t="n">
        <v>23114.21</v>
      </c>
      <c r="C191" s="27" t="n">
        <v>23191.79</v>
      </c>
      <c r="D191" s="28" t="n">
        <v>22950.7</v>
      </c>
      <c r="E191" s="27" t="n">
        <v>23053.84</v>
      </c>
      <c r="F191" s="27" t="n">
        <v>42.86</v>
      </c>
      <c r="G191" s="33" t="n">
        <v>21370.975</v>
      </c>
      <c r="H191" s="24">
        <f>E191-G191</f>
        <v/>
      </c>
      <c r="I191" s="34">
        <f>H191/1000</f>
        <v/>
      </c>
      <c r="J191" s="34">
        <f>AVERAGE(I190:I191)</f>
        <v/>
      </c>
      <c r="K191" s="25" t="n"/>
      <c r="L191" s="25" t="n"/>
      <c r="M191" s="25" t="n"/>
      <c r="N191" s="25" t="n"/>
    </row>
    <row r="192" ht="16.5" customHeight="1" s="56">
      <c r="A192" s="58" t="n">
        <v>45583</v>
      </c>
      <c r="B192" s="32" t="n">
        <v>23620.57</v>
      </c>
      <c r="C192" s="32" t="n">
        <v>23713.7</v>
      </c>
      <c r="D192" s="32" t="n">
        <v>23378.36</v>
      </c>
      <c r="E192" s="32" t="n">
        <v>23487.27</v>
      </c>
      <c r="F192" s="32" t="n">
        <v>433.43</v>
      </c>
      <c r="G192" s="33" t="n">
        <v>21370.975</v>
      </c>
      <c r="H192" s="24">
        <f>E192-G192</f>
        <v/>
      </c>
      <c r="I192" s="34">
        <f>H192/1000</f>
        <v/>
      </c>
      <c r="J192" s="34">
        <f>AVERAGE(I191:I192)</f>
        <v/>
      </c>
      <c r="K192" s="25" t="n"/>
      <c r="L192" s="25" t="n"/>
      <c r="M192" s="25" t="n"/>
      <c r="N192" s="25" t="n"/>
    </row>
    <row r="193" ht="16.5" customHeight="1" s="56">
      <c r="A193" s="57" t="n">
        <v>45586</v>
      </c>
      <c r="B193" s="27" t="n">
        <v>23602.98</v>
      </c>
      <c r="C193" s="27" t="n">
        <v>23678.51</v>
      </c>
      <c r="D193" s="28" t="n">
        <v>23480.06</v>
      </c>
      <c r="E193" s="27" t="n">
        <v>23542.53</v>
      </c>
      <c r="F193" s="27" t="n">
        <v>55.26</v>
      </c>
      <c r="G193" s="33" t="n">
        <v>21370.975</v>
      </c>
      <c r="H193" s="24">
        <f>E193-G193</f>
        <v/>
      </c>
      <c r="I193" s="34">
        <f>H193/1000</f>
        <v/>
      </c>
      <c r="J193" s="34">
        <f>AVERAGE(I192:I193)</f>
        <v/>
      </c>
      <c r="K193" s="25" t="n"/>
      <c r="L193" s="25" t="n"/>
      <c r="M193" s="25" t="n"/>
      <c r="N193" s="25" t="n"/>
    </row>
    <row r="194" ht="16.5" customHeight="1" s="56">
      <c r="A194" s="58" t="n">
        <v>45587</v>
      </c>
      <c r="B194" s="31" t="n">
        <v>23428.11</v>
      </c>
      <c r="C194" s="31" t="n">
        <v>23535.43</v>
      </c>
      <c r="D194" s="31" t="n">
        <v>23269.86</v>
      </c>
      <c r="E194" s="31" t="n">
        <v>23535.43</v>
      </c>
      <c r="F194" s="31" t="n">
        <v>-7.1</v>
      </c>
      <c r="G194" s="33" t="n">
        <v>21370.975</v>
      </c>
      <c r="H194" s="24">
        <f>E194-G194</f>
        <v/>
      </c>
      <c r="I194" s="34">
        <f>H194/1000</f>
        <v/>
      </c>
      <c r="J194" s="34">
        <f>AVERAGE(I193:I194)</f>
        <v/>
      </c>
      <c r="K194" s="25" t="n"/>
      <c r="L194" s="25" t="n"/>
      <c r="M194" s="25" t="n"/>
      <c r="N194" s="25" t="n"/>
    </row>
    <row r="195" ht="16.5" customHeight="1" s="56">
      <c r="A195" s="57" t="n">
        <v>45588</v>
      </c>
      <c r="B195" s="28" t="n">
        <v>23402.24</v>
      </c>
      <c r="C195" s="28" t="n">
        <v>23486.45</v>
      </c>
      <c r="D195" s="28" t="n">
        <v>23318.84</v>
      </c>
      <c r="E195" s="28" t="n">
        <v>23334.76</v>
      </c>
      <c r="F195" s="28" t="n">
        <v>-200.67</v>
      </c>
      <c r="G195" s="33" t="n">
        <v>21370.975</v>
      </c>
      <c r="H195" s="24">
        <f>E195-G195</f>
        <v/>
      </c>
      <c r="I195" s="34">
        <f>H195/1000</f>
        <v/>
      </c>
      <c r="J195" s="34">
        <f>AVERAGE(I194:I195)</f>
        <v/>
      </c>
      <c r="K195" s="25" t="n"/>
      <c r="L195" s="25" t="n"/>
      <c r="M195" s="25" t="n"/>
      <c r="N195" s="25" t="n"/>
    </row>
    <row r="196" ht="16.5" customHeight="1" s="56">
      <c r="A196" s="58" t="n">
        <v>45589</v>
      </c>
      <c r="B196" s="32" t="n">
        <v>23446.64</v>
      </c>
      <c r="C196" s="32" t="n">
        <v>23446.64</v>
      </c>
      <c r="D196" s="31" t="n">
        <v>23150.77</v>
      </c>
      <c r="E196" s="31" t="n">
        <v>23192.52</v>
      </c>
      <c r="F196" s="31" t="n">
        <v>-142.24</v>
      </c>
      <c r="G196" s="33" t="n">
        <v>21370.975</v>
      </c>
      <c r="H196" s="24">
        <f>E196-G196</f>
        <v/>
      </c>
      <c r="I196" s="34">
        <f>H196/1000</f>
        <v/>
      </c>
      <c r="J196" s="34">
        <f>AVERAGE(I195:I196)</f>
        <v/>
      </c>
      <c r="K196" s="25" t="n"/>
      <c r="L196" s="25" t="n"/>
      <c r="M196" s="25" t="n"/>
      <c r="N196" s="25" t="n"/>
    </row>
    <row r="197" ht="16.5" customHeight="1" s="56">
      <c r="A197" s="57" t="n">
        <v>45590</v>
      </c>
      <c r="B197" s="27" t="n">
        <v>23255.07</v>
      </c>
      <c r="C197" s="27" t="n">
        <v>23388.53</v>
      </c>
      <c r="D197" s="27" t="n">
        <v>23222.77</v>
      </c>
      <c r="E197" s="27" t="n">
        <v>23348.45</v>
      </c>
      <c r="F197" s="27" t="n">
        <v>155.93</v>
      </c>
      <c r="G197" s="33" t="n">
        <v>21370.975</v>
      </c>
      <c r="H197" s="24">
        <f>E197-G197</f>
        <v/>
      </c>
      <c r="I197" s="34">
        <f>H197/1000</f>
        <v/>
      </c>
      <c r="J197" s="34">
        <f>AVERAGE(I196:I197)</f>
        <v/>
      </c>
      <c r="K197" s="25" t="n"/>
      <c r="L197" s="25" t="n"/>
      <c r="M197" s="25" t="n"/>
      <c r="N197" s="25" t="n"/>
    </row>
    <row r="198" ht="16.5" customHeight="1" s="56">
      <c r="A198" s="58" t="n">
        <v>45593</v>
      </c>
      <c r="B198" s="32" t="n">
        <v>23455.69</v>
      </c>
      <c r="C198" s="32" t="n">
        <v>23547.12</v>
      </c>
      <c r="D198" s="31" t="n">
        <v>23164.42</v>
      </c>
      <c r="E198" s="31" t="n">
        <v>23198.07</v>
      </c>
      <c r="F198" s="31" t="n">
        <v>-150.38</v>
      </c>
      <c r="G198" s="33" t="n">
        <v>21370.975</v>
      </c>
      <c r="H198" s="24">
        <f>E198-G198</f>
        <v/>
      </c>
      <c r="I198" s="34">
        <f>H198/1000</f>
        <v/>
      </c>
      <c r="J198" s="34">
        <f>AVERAGE(I197:I198)</f>
        <v/>
      </c>
      <c r="K198" s="25" t="n"/>
      <c r="L198" s="25" t="n"/>
      <c r="M198" s="25" t="n"/>
      <c r="N198" s="25" t="n"/>
    </row>
    <row r="199" ht="16.5" customHeight="1" s="56">
      <c r="A199" s="57" t="n">
        <v>45594</v>
      </c>
      <c r="B199" s="28" t="n">
        <v>23048.45</v>
      </c>
      <c r="C199" s="28" t="n">
        <v>23056.57</v>
      </c>
      <c r="D199" s="28" t="n">
        <v>22711.1</v>
      </c>
      <c r="E199" s="28" t="n">
        <v>22926.59</v>
      </c>
      <c r="F199" s="28" t="n">
        <v>-271.48</v>
      </c>
      <c r="G199" s="33" t="n">
        <v>21370.975</v>
      </c>
      <c r="H199" s="24">
        <f>E199-G199</f>
        <v/>
      </c>
      <c r="I199" s="34">
        <f>H199/1000</f>
        <v/>
      </c>
      <c r="J199" s="34">
        <f>AVERAGE(I198:I199)</f>
        <v/>
      </c>
      <c r="K199" s="25" t="n"/>
      <c r="L199" s="25" t="n"/>
      <c r="M199" s="25" t="n"/>
      <c r="N199" s="25" t="n"/>
    </row>
    <row r="200" ht="16.5" customHeight="1" s="56">
      <c r="A200" s="58" t="n">
        <v>45595</v>
      </c>
      <c r="B200" s="32" t="n">
        <v>22985.13</v>
      </c>
      <c r="C200" s="32" t="n">
        <v>23116.33</v>
      </c>
      <c r="D200" s="31" t="n">
        <v>22801.45</v>
      </c>
      <c r="E200" s="31" t="n">
        <v>22820.43</v>
      </c>
      <c r="F200" s="31" t="n">
        <v>-106.16</v>
      </c>
      <c r="G200" s="33" t="n">
        <v>21370.975</v>
      </c>
      <c r="H200" s="24">
        <f>E200-G200</f>
        <v/>
      </c>
      <c r="I200" s="34">
        <f>H200/1000</f>
        <v/>
      </c>
      <c r="J200" s="34">
        <f>AVERAGE(I199:I200)</f>
        <v/>
      </c>
      <c r="K200" s="25" t="n"/>
      <c r="L200" s="25" t="n"/>
      <c r="M200" s="25" t="n"/>
      <c r="N200" s="25" t="n"/>
    </row>
    <row r="201" ht="16.5" customHeight="1" s="56">
      <c r="A201" s="57" t="n">
        <v>45597</v>
      </c>
      <c r="B201" s="28" t="n">
        <v>22438.93</v>
      </c>
      <c r="C201" s="27" t="n">
        <v>22828.98</v>
      </c>
      <c r="D201" s="28" t="n">
        <v>22231.94</v>
      </c>
      <c r="E201" s="28" t="n">
        <v>22780.08</v>
      </c>
      <c r="F201" s="28" t="n">
        <v>-40.35</v>
      </c>
      <c r="G201" s="29" t="n">
        <v>22317.935</v>
      </c>
      <c r="H201" s="24">
        <f>E201-G201</f>
        <v/>
      </c>
      <c r="I201" s="34">
        <f>H201/1000</f>
        <v/>
      </c>
      <c r="J201" s="34">
        <f>AVERAGE(I200:I201)</f>
        <v/>
      </c>
      <c r="K201" s="25" t="n"/>
      <c r="L201" s="25" t="n"/>
      <c r="M201" s="25" t="n"/>
      <c r="N201" s="25" t="n"/>
    </row>
    <row r="202" ht="16.5" customHeight="1" s="56">
      <c r="A202" s="58" t="n">
        <v>45600</v>
      </c>
      <c r="B202" s="32" t="n">
        <v>22839.18</v>
      </c>
      <c r="C202" s="32" t="n">
        <v>23020.99</v>
      </c>
      <c r="D202" s="32" t="n">
        <v>22792.77</v>
      </c>
      <c r="E202" s="32" t="n">
        <v>22965.39</v>
      </c>
      <c r="F202" s="32" t="n">
        <v>185.31</v>
      </c>
      <c r="G202" s="29" t="n">
        <v>22317.935</v>
      </c>
      <c r="H202" s="24">
        <f>E202-G202</f>
        <v/>
      </c>
      <c r="I202" s="34">
        <f>H202/1000</f>
        <v/>
      </c>
      <c r="J202" s="34">
        <f>AVERAGE(I201:I202)</f>
        <v/>
      </c>
      <c r="K202" s="25" t="n"/>
      <c r="L202" s="25" t="n"/>
      <c r="M202" s="25" t="n"/>
      <c r="N202" s="25" t="n"/>
    </row>
    <row r="203" ht="16.5" customHeight="1" s="56">
      <c r="A203" s="57" t="n">
        <v>45601</v>
      </c>
      <c r="B203" s="28" t="n">
        <v>22870.11</v>
      </c>
      <c r="C203" s="27" t="n">
        <v>23178.8</v>
      </c>
      <c r="D203" s="28" t="n">
        <v>22849.83</v>
      </c>
      <c r="E203" s="27" t="n">
        <v>23106.79</v>
      </c>
      <c r="F203" s="27" t="n">
        <v>141.4</v>
      </c>
      <c r="G203" s="29" t="n">
        <v>22317.935</v>
      </c>
      <c r="H203" s="24">
        <f>E203-G203</f>
        <v/>
      </c>
      <c r="I203" s="34">
        <f>H203/1000</f>
        <v/>
      </c>
      <c r="J203" s="34">
        <f>AVERAGE(I202:I203)</f>
        <v/>
      </c>
      <c r="K203" s="25" t="n"/>
      <c r="L203" s="25" t="n"/>
      <c r="M203" s="25" t="n"/>
      <c r="N203" s="25" t="n"/>
    </row>
    <row r="204" ht="16.5" customHeight="1" s="56">
      <c r="A204" s="58" t="n">
        <v>45602</v>
      </c>
      <c r="B204" s="32" t="n">
        <v>23112.95</v>
      </c>
      <c r="C204" s="32" t="n">
        <v>23439.39</v>
      </c>
      <c r="D204" s="31" t="n">
        <v>23035.3</v>
      </c>
      <c r="E204" s="32" t="n">
        <v>23217.38</v>
      </c>
      <c r="F204" s="32" t="n">
        <v>110.59</v>
      </c>
      <c r="G204" s="29" t="n">
        <v>22317.935</v>
      </c>
      <c r="H204" s="24">
        <f>E204-G204</f>
        <v/>
      </c>
      <c r="I204" s="34">
        <f>H204/1000</f>
        <v/>
      </c>
      <c r="J204" s="34">
        <f>AVERAGE(I203:I204)</f>
        <v/>
      </c>
      <c r="K204" s="25" t="n"/>
      <c r="L204" s="25" t="n"/>
      <c r="M204" s="25" t="n"/>
      <c r="N204" s="25" t="n"/>
    </row>
    <row r="205" ht="16.5" customHeight="1" s="56">
      <c r="A205" s="57" t="n">
        <v>45603</v>
      </c>
      <c r="B205" s="28" t="n">
        <v>23180.01</v>
      </c>
      <c r="C205" s="27" t="n">
        <v>23518.63</v>
      </c>
      <c r="D205" s="28" t="n">
        <v>23132.94</v>
      </c>
      <c r="E205" s="27" t="n">
        <v>23408.82</v>
      </c>
      <c r="F205" s="27" t="n">
        <v>191.44</v>
      </c>
      <c r="G205" s="29" t="n">
        <v>22317.935</v>
      </c>
      <c r="H205" s="24">
        <f>E205-G205</f>
        <v/>
      </c>
      <c r="I205" s="34">
        <f>H205/1000</f>
        <v/>
      </c>
      <c r="J205" s="34">
        <f>AVERAGE(I204:I205)</f>
        <v/>
      </c>
      <c r="K205" s="25" t="n"/>
      <c r="L205" s="25" t="n"/>
      <c r="M205" s="25" t="n"/>
      <c r="N205" s="25" t="n"/>
    </row>
    <row r="206" ht="16.5" customHeight="1" s="56">
      <c r="A206" s="58" t="n">
        <v>45604</v>
      </c>
      <c r="B206" s="32" t="n">
        <v>23608.11</v>
      </c>
      <c r="C206" s="32" t="n">
        <v>23699.7</v>
      </c>
      <c r="D206" s="32" t="n">
        <v>23509.13</v>
      </c>
      <c r="E206" s="32" t="n">
        <v>23553.89</v>
      </c>
      <c r="F206" s="32" t="n">
        <v>145.07</v>
      </c>
      <c r="G206" s="29" t="n">
        <v>22317.935</v>
      </c>
      <c r="H206" s="24">
        <f>E206-G206</f>
        <v/>
      </c>
      <c r="I206" s="34">
        <f>H206/1000</f>
        <v/>
      </c>
      <c r="J206" s="34">
        <f>AVERAGE(I205:I206)</f>
        <v/>
      </c>
      <c r="K206" s="25" t="n"/>
      <c r="L206" s="25" t="n"/>
      <c r="M206" s="25" t="n"/>
      <c r="N206" s="25" t="n"/>
    </row>
    <row r="207" ht="16.5" customHeight="1" s="56">
      <c r="A207" s="57" t="n">
        <v>45607</v>
      </c>
      <c r="B207" s="28" t="n">
        <v>23477.75</v>
      </c>
      <c r="C207" s="27" t="n">
        <v>23563.8</v>
      </c>
      <c r="D207" s="28" t="n">
        <v>23306.66</v>
      </c>
      <c r="E207" s="28" t="n">
        <v>23529.64</v>
      </c>
      <c r="F207" s="28" t="n">
        <v>-24.25</v>
      </c>
      <c r="G207" s="29" t="n">
        <v>22317.935</v>
      </c>
      <c r="H207" s="24">
        <f>E207-G207</f>
        <v/>
      </c>
      <c r="I207" s="34">
        <f>H207/1000</f>
        <v/>
      </c>
      <c r="J207" s="34">
        <f>AVERAGE(I206:I207)</f>
        <v/>
      </c>
      <c r="K207" s="25" t="n"/>
      <c r="L207" s="25" t="n"/>
      <c r="M207" s="25" t="n"/>
      <c r="N207" s="25" t="n"/>
    </row>
    <row r="208" ht="16.5" customHeight="1" s="56">
      <c r="A208" s="58" t="n">
        <v>45608</v>
      </c>
      <c r="B208" s="31" t="n">
        <v>23276.76</v>
      </c>
      <c r="C208" s="31" t="n">
        <v>23276.76</v>
      </c>
      <c r="D208" s="31" t="n">
        <v>22981.77</v>
      </c>
      <c r="E208" s="31" t="n">
        <v>22981.77</v>
      </c>
      <c r="F208" s="31" t="n">
        <v>-547.87</v>
      </c>
      <c r="G208" s="29" t="n">
        <v>22317.935</v>
      </c>
      <c r="H208" s="24">
        <f>E208-G208</f>
        <v/>
      </c>
      <c r="I208" s="34">
        <f>H208/1000</f>
        <v/>
      </c>
      <c r="J208" s="34">
        <f>AVERAGE(I207:I208)</f>
        <v/>
      </c>
      <c r="K208" s="25" t="n"/>
      <c r="L208" s="25" t="n"/>
      <c r="M208" s="25" t="n"/>
      <c r="N208" s="25" t="n"/>
    </row>
    <row r="209" ht="16.5" customHeight="1" s="56">
      <c r="A209" s="57" t="n">
        <v>45609</v>
      </c>
      <c r="B209" s="28" t="n">
        <v>22894.91</v>
      </c>
      <c r="C209" s="27" t="n">
        <v>23046.47</v>
      </c>
      <c r="D209" s="28" t="n">
        <v>22860.23</v>
      </c>
      <c r="E209" s="28" t="n">
        <v>22860.23</v>
      </c>
      <c r="F209" s="28" t="n">
        <v>-121.54</v>
      </c>
      <c r="G209" s="29" t="n">
        <v>22317.935</v>
      </c>
      <c r="H209" s="24">
        <f>E209-G209</f>
        <v/>
      </c>
      <c r="I209" s="34">
        <f>H209/1000</f>
        <v/>
      </c>
      <c r="J209" s="34">
        <f>AVERAGE(I208:I209)</f>
        <v/>
      </c>
      <c r="K209" s="25" t="n"/>
      <c r="L209" s="25" t="n"/>
      <c r="M209" s="25" t="n"/>
      <c r="N209" s="25" t="n"/>
    </row>
    <row r="210" ht="16.5" customHeight="1" s="56">
      <c r="A210" s="58" t="n">
        <v>45610</v>
      </c>
      <c r="B210" s="31" t="n">
        <v>22821.04</v>
      </c>
      <c r="C210" s="32" t="n">
        <v>22893.82</v>
      </c>
      <c r="D210" s="31" t="n">
        <v>22619.71</v>
      </c>
      <c r="E210" s="31" t="n">
        <v>22715.38</v>
      </c>
      <c r="F210" s="31" t="n">
        <v>-144.85</v>
      </c>
      <c r="G210" s="29" t="n">
        <v>22317.935</v>
      </c>
      <c r="H210" s="24">
        <f>E210-G210</f>
        <v/>
      </c>
      <c r="I210" s="34">
        <f>H210/1000</f>
        <v/>
      </c>
      <c r="J210" s="34">
        <f>AVERAGE(I209:I210)</f>
        <v/>
      </c>
      <c r="K210" s="25" t="n"/>
      <c r="L210" s="25" t="n"/>
      <c r="M210" s="25" t="n"/>
      <c r="N210" s="25" t="n"/>
    </row>
    <row r="211" ht="16.5" customHeight="1" s="56">
      <c r="A211" s="57" t="n">
        <v>45611</v>
      </c>
      <c r="B211" s="27" t="n">
        <v>22767.11</v>
      </c>
      <c r="C211" s="27" t="n">
        <v>22940.8</v>
      </c>
      <c r="D211" s="28" t="n">
        <v>22690.77</v>
      </c>
      <c r="E211" s="27" t="n">
        <v>22742.77</v>
      </c>
      <c r="F211" s="27" t="n">
        <v>27.39</v>
      </c>
      <c r="G211" s="29" t="n">
        <v>22317.935</v>
      </c>
      <c r="H211" s="24">
        <f>E211-G211</f>
        <v/>
      </c>
      <c r="I211" s="34">
        <f>H211/1000</f>
        <v/>
      </c>
      <c r="J211" s="34">
        <f>AVERAGE(I210:I211)</f>
        <v/>
      </c>
      <c r="K211" s="25" t="n"/>
      <c r="L211" s="25" t="n"/>
      <c r="M211" s="25" t="n"/>
      <c r="N211" s="25" t="n"/>
    </row>
    <row r="212" ht="16.5" customHeight="1" s="56">
      <c r="A212" s="58" t="n">
        <v>45614</v>
      </c>
      <c r="B212" s="31" t="n">
        <v>22693.96</v>
      </c>
      <c r="C212" s="32" t="n">
        <v>22781.77</v>
      </c>
      <c r="D212" s="31" t="n">
        <v>22503.69</v>
      </c>
      <c r="E212" s="31" t="n">
        <v>22546.54</v>
      </c>
      <c r="F212" s="31" t="n">
        <v>-196.23</v>
      </c>
      <c r="G212" s="29" t="n">
        <v>22317.935</v>
      </c>
      <c r="H212" s="24">
        <f>E212-G212</f>
        <v/>
      </c>
      <c r="I212" s="34">
        <f>H212/1000</f>
        <v/>
      </c>
      <c r="J212" s="34">
        <f>AVERAGE(I211:I212)</f>
        <v/>
      </c>
      <c r="K212" s="25" t="n"/>
      <c r="L212" s="25" t="n"/>
      <c r="M212" s="25" t="n"/>
      <c r="N212" s="25" t="n"/>
    </row>
    <row r="213" ht="16.5" customHeight="1" s="56">
      <c r="A213" s="57" t="n">
        <v>45615</v>
      </c>
      <c r="B213" s="27" t="n">
        <v>22614.74</v>
      </c>
      <c r="C213" s="27" t="n">
        <v>22906.69</v>
      </c>
      <c r="D213" s="27" t="n">
        <v>22578.75</v>
      </c>
      <c r="E213" s="27" t="n">
        <v>22848.8</v>
      </c>
      <c r="F213" s="27" t="n">
        <v>302.26</v>
      </c>
      <c r="G213" s="29" t="n">
        <v>22317.935</v>
      </c>
      <c r="H213" s="24">
        <f>E213-G213</f>
        <v/>
      </c>
      <c r="I213" s="34">
        <f>H213/1000</f>
        <v/>
      </c>
      <c r="J213" s="34">
        <f>AVERAGE(I212:I213)</f>
        <v/>
      </c>
      <c r="K213" s="25" t="n"/>
      <c r="L213" s="25" t="n"/>
      <c r="M213" s="25" t="n"/>
      <c r="N213" s="25" t="n"/>
    </row>
    <row r="214" ht="16.5" customHeight="1" s="56">
      <c r="A214" s="58" t="n">
        <v>45616</v>
      </c>
      <c r="B214" s="32" t="n">
        <v>22872.91</v>
      </c>
      <c r="C214" s="32" t="n">
        <v>22977.56</v>
      </c>
      <c r="D214" s="31" t="n">
        <v>22622.47</v>
      </c>
      <c r="E214" s="31" t="n">
        <v>22688.36</v>
      </c>
      <c r="F214" s="31" t="n">
        <v>-160.44</v>
      </c>
      <c r="G214" s="29" t="n">
        <v>22317.935</v>
      </c>
      <c r="H214" s="24">
        <f>E214-G214</f>
        <v/>
      </c>
      <c r="I214" s="34">
        <f>H214/1000</f>
        <v/>
      </c>
      <c r="J214" s="34">
        <f>AVERAGE(I213:I214)</f>
        <v/>
      </c>
      <c r="K214" s="25" t="n"/>
      <c r="L214" s="25" t="n"/>
      <c r="M214" s="25" t="n"/>
      <c r="N214" s="25" t="n"/>
    </row>
    <row r="215" ht="16.5" customHeight="1" s="56">
      <c r="A215" s="57" t="n">
        <v>45617</v>
      </c>
      <c r="B215" s="28" t="n">
        <v>22671.66</v>
      </c>
      <c r="C215" s="27" t="n">
        <v>22708.57</v>
      </c>
      <c r="D215" s="28" t="n">
        <v>22490.28</v>
      </c>
      <c r="E215" s="28" t="n">
        <v>22555.66</v>
      </c>
      <c r="F215" s="28" t="n">
        <v>-132.7</v>
      </c>
      <c r="G215" s="29" t="n">
        <v>22317.935</v>
      </c>
      <c r="H215" s="24">
        <f>E215-G215</f>
        <v/>
      </c>
      <c r="I215" s="34">
        <f>H215/1000</f>
        <v/>
      </c>
      <c r="J215" s="34">
        <f>AVERAGE(I214:I215)</f>
        <v/>
      </c>
      <c r="K215" s="25" t="n"/>
      <c r="L215" s="25" t="n"/>
      <c r="M215" s="25" t="n"/>
      <c r="N215" s="25" t="n"/>
    </row>
    <row r="216" ht="16.5" customHeight="1" s="56">
      <c r="A216" s="58" t="n">
        <v>45618</v>
      </c>
      <c r="B216" s="32" t="n">
        <v>22799.53</v>
      </c>
      <c r="C216" s="32" t="n">
        <v>23019.04</v>
      </c>
      <c r="D216" s="32" t="n">
        <v>22799.53</v>
      </c>
      <c r="E216" s="32" t="n">
        <v>22904.32</v>
      </c>
      <c r="F216" s="32" t="n">
        <v>348.66</v>
      </c>
      <c r="G216" s="29" t="n">
        <v>22317.935</v>
      </c>
      <c r="H216" s="24">
        <f>E216-G216</f>
        <v/>
      </c>
      <c r="I216" s="34">
        <f>H216/1000</f>
        <v/>
      </c>
      <c r="J216" s="34">
        <f>AVERAGE(I215:I216)</f>
        <v/>
      </c>
      <c r="K216" s="25" t="n"/>
      <c r="L216" s="25" t="n"/>
      <c r="M216" s="25" t="n"/>
      <c r="N216" s="25" t="n"/>
    </row>
    <row r="217" ht="16.5" customHeight="1" s="56">
      <c r="A217" s="57" t="n">
        <v>45621</v>
      </c>
      <c r="B217" s="27" t="n">
        <v>22996.05</v>
      </c>
      <c r="C217" s="27" t="n">
        <v>23172.43</v>
      </c>
      <c r="D217" s="27" t="n">
        <v>22948.37</v>
      </c>
      <c r="E217" s="27" t="n">
        <v>22948.37</v>
      </c>
      <c r="F217" s="27" t="n">
        <v>44.05</v>
      </c>
      <c r="G217" s="29" t="n">
        <v>22317.935</v>
      </c>
      <c r="H217" s="24">
        <f>E217-G217</f>
        <v/>
      </c>
      <c r="I217" s="34">
        <f>H217/1000</f>
        <v/>
      </c>
      <c r="J217" s="34">
        <f>AVERAGE(I216:I217)</f>
        <v/>
      </c>
      <c r="K217" s="25" t="n"/>
      <c r="L217" s="25" t="n"/>
      <c r="M217" s="25" t="n"/>
      <c r="N217" s="25" t="n"/>
    </row>
    <row r="218" ht="16.5" customHeight="1" s="56">
      <c r="A218" s="58" t="n">
        <v>45622</v>
      </c>
      <c r="B218" s="31" t="n">
        <v>22789.6</v>
      </c>
      <c r="C218" s="31" t="n">
        <v>22832.11</v>
      </c>
      <c r="D218" s="31" t="n">
        <v>22645.13</v>
      </c>
      <c r="E218" s="31" t="n">
        <v>22678.76</v>
      </c>
      <c r="F218" s="31" t="n">
        <v>-269.61</v>
      </c>
      <c r="G218" s="29" t="n">
        <v>22317.935</v>
      </c>
      <c r="H218" s="24">
        <f>E218-G218</f>
        <v/>
      </c>
      <c r="I218" s="34">
        <f>H218/1000</f>
        <v/>
      </c>
      <c r="J218" s="34">
        <f>AVERAGE(I217:I218)</f>
        <v/>
      </c>
      <c r="K218" s="25" t="n"/>
      <c r="L218" s="25" t="n"/>
      <c r="M218" s="25" t="n"/>
      <c r="N218" s="25" t="n"/>
    </row>
    <row r="219" ht="16.5" customHeight="1" s="56">
      <c r="A219" s="57" t="n">
        <v>45623</v>
      </c>
      <c r="B219" s="28" t="n">
        <v>22665.58</v>
      </c>
      <c r="C219" s="27" t="n">
        <v>22743.99</v>
      </c>
      <c r="D219" s="28" t="n">
        <v>22334.78</v>
      </c>
      <c r="E219" s="28" t="n">
        <v>22334.78</v>
      </c>
      <c r="F219" s="28" t="n">
        <v>-343.98</v>
      </c>
      <c r="G219" s="29" t="n">
        <v>22317.935</v>
      </c>
      <c r="H219" s="24">
        <f>E219-G219</f>
        <v/>
      </c>
      <c r="I219" s="34">
        <f>H219/1000</f>
        <v/>
      </c>
      <c r="J219" s="34">
        <f>AVERAGE(I218:I219)</f>
        <v/>
      </c>
      <c r="K219" s="25" t="n"/>
      <c r="L219" s="25" t="n"/>
      <c r="M219" s="25" t="n"/>
      <c r="N219" s="25" t="n"/>
    </row>
    <row r="220" ht="16.5" customHeight="1" s="56">
      <c r="A220" s="58" t="n">
        <v>45624</v>
      </c>
      <c r="B220" s="32" t="n">
        <v>22380.45</v>
      </c>
      <c r="C220" s="32" t="n">
        <v>22413.25</v>
      </c>
      <c r="D220" s="31" t="n">
        <v>22124.31</v>
      </c>
      <c r="E220" s="31" t="n">
        <v>22298.9</v>
      </c>
      <c r="F220" s="31" t="n">
        <v>-35.88</v>
      </c>
      <c r="G220" s="29" t="n">
        <v>22317.935</v>
      </c>
      <c r="H220" s="24">
        <f>E220-G220</f>
        <v/>
      </c>
      <c r="I220" s="34">
        <f>H220/1000</f>
        <v/>
      </c>
      <c r="J220" s="34">
        <f>AVERAGE(I219:I220)</f>
        <v/>
      </c>
      <c r="K220" s="25" t="inlineStr">
        <is>
          <t>賣訊出現，隔日開盤做空</t>
        </is>
      </c>
      <c r="L220" s="25" t="n"/>
      <c r="M220" s="25" t="n"/>
      <c r="N220" s="25" t="n"/>
    </row>
    <row r="221" ht="16.5" customHeight="1" s="56">
      <c r="A221" s="57" t="n">
        <v>45625</v>
      </c>
      <c r="B221" s="28" t="n">
        <v>22202.28</v>
      </c>
      <c r="C221" s="27" t="n">
        <v>22429.86</v>
      </c>
      <c r="D221" s="28" t="n">
        <v>22055.38</v>
      </c>
      <c r="E221" s="28" t="n">
        <v>22262.5</v>
      </c>
      <c r="F221" s="28" t="n">
        <v>-36.4</v>
      </c>
      <c r="G221" s="29" t="n">
        <v>22317.935</v>
      </c>
      <c r="H221" s="24">
        <f>E221-G221</f>
        <v/>
      </c>
      <c r="I221" s="34">
        <f>H221/1000</f>
        <v/>
      </c>
      <c r="J221" s="34">
        <f>AVERAGE(I220:I221)</f>
        <v/>
      </c>
      <c r="K221" s="25" t="n"/>
      <c r="L221" s="25" t="n"/>
      <c r="M221" s="25" t="n">
        <v>22380</v>
      </c>
      <c r="N221" s="25" t="n"/>
    </row>
    <row r="222" ht="16.5" customHeight="1" s="56">
      <c r="A222" s="58" t="n">
        <v>45628</v>
      </c>
      <c r="B222" s="32" t="n">
        <v>22456.5</v>
      </c>
      <c r="C222" s="32" t="n">
        <v>22802.53</v>
      </c>
      <c r="D222" s="32" t="n">
        <v>22456.5</v>
      </c>
      <c r="E222" s="32" t="n">
        <v>22736.93</v>
      </c>
      <c r="F222" s="32" t="n">
        <v>474.43</v>
      </c>
      <c r="G222" s="33" t="n">
        <v>22884.54</v>
      </c>
      <c r="H222" s="24">
        <f>E222-G222</f>
        <v/>
      </c>
      <c r="I222" s="34">
        <f>H222/1000</f>
        <v/>
      </c>
      <c r="J222" s="34">
        <f>AVERAGE(I221:I222)</f>
        <v/>
      </c>
      <c r="K222" s="25" t="n"/>
      <c r="L222" s="25" t="n"/>
      <c r="M222" s="25" t="n"/>
      <c r="N222" s="25" t="n"/>
    </row>
    <row r="223" ht="16.5" customHeight="1" s="56">
      <c r="A223" s="57" t="n">
        <v>45629</v>
      </c>
      <c r="B223" s="27" t="n">
        <v>22972.3</v>
      </c>
      <c r="C223" s="27" t="n">
        <v>23144.78</v>
      </c>
      <c r="D223" s="27" t="n">
        <v>22972.3</v>
      </c>
      <c r="E223" s="27" t="n">
        <v>23027.46</v>
      </c>
      <c r="F223" s="27" t="n">
        <v>290.53</v>
      </c>
      <c r="G223" s="33" t="n">
        <v>22884.54</v>
      </c>
      <c r="H223" s="24">
        <f>E223-G223</f>
        <v/>
      </c>
      <c r="I223" s="34">
        <f>H223/1000</f>
        <v/>
      </c>
      <c r="J223" s="34">
        <f>AVERAGE(I222:I223)</f>
        <v/>
      </c>
      <c r="K223" s="25" t="inlineStr">
        <is>
          <t>買訊出現，隔日開盤做多</t>
        </is>
      </c>
      <c r="L223" s="25" t="n"/>
      <c r="M223" s="25" t="n"/>
      <c r="N223" s="25" t="n"/>
    </row>
    <row r="224" ht="16.5" customHeight="1" s="56">
      <c r="A224" s="58" t="n">
        <v>45630</v>
      </c>
      <c r="B224" s="32" t="n">
        <v>23126.08</v>
      </c>
      <c r="C224" s="32" t="n">
        <v>23255.33</v>
      </c>
      <c r="D224" s="32" t="n">
        <v>23034.7</v>
      </c>
      <c r="E224" s="32" t="n">
        <v>23255.33</v>
      </c>
      <c r="F224" s="32" t="n">
        <v>227.87</v>
      </c>
      <c r="G224" s="33" t="n">
        <v>22884.54</v>
      </c>
      <c r="H224" s="24">
        <f>E224-G224</f>
        <v/>
      </c>
      <c r="I224" s="34">
        <f>H224/1000</f>
        <v/>
      </c>
      <c r="J224" s="34">
        <f>AVERAGE(I223:I224)</f>
        <v/>
      </c>
      <c r="K224" s="25" t="n"/>
      <c r="L224" s="25" t="n">
        <v>23126.08</v>
      </c>
      <c r="M224" s="25" t="n"/>
      <c r="N224" s="25">
        <f>M221-L224</f>
        <v/>
      </c>
    </row>
    <row r="225" ht="16.5" customHeight="1" s="56">
      <c r="A225" s="57" t="n">
        <v>45631</v>
      </c>
      <c r="B225" s="27" t="n">
        <v>23308.29</v>
      </c>
      <c r="C225" s="27" t="n">
        <v>23387.17</v>
      </c>
      <c r="D225" s="28" t="n">
        <v>23225.31</v>
      </c>
      <c r="E225" s="27" t="n">
        <v>23267.94</v>
      </c>
      <c r="F225" s="27" t="n">
        <v>12.61</v>
      </c>
      <c r="G225" s="33" t="n">
        <v>22884.54</v>
      </c>
      <c r="H225" s="24">
        <f>E225-G225</f>
        <v/>
      </c>
      <c r="I225" s="34">
        <f>H225/1000</f>
        <v/>
      </c>
      <c r="J225" s="34">
        <f>AVERAGE(I224:I225)</f>
        <v/>
      </c>
      <c r="K225" s="25" t="n"/>
      <c r="L225" s="25" t="n"/>
      <c r="M225" s="25" t="n"/>
      <c r="N225" s="25" t="n"/>
    </row>
    <row r="226" ht="16.5" customHeight="1" s="56">
      <c r="A226" s="58" t="n">
        <v>45632</v>
      </c>
      <c r="B226" s="32" t="n">
        <v>23278.68</v>
      </c>
      <c r="C226" s="32" t="n">
        <v>23361.12</v>
      </c>
      <c r="D226" s="31" t="n">
        <v>23137.62</v>
      </c>
      <c r="E226" s="31" t="n">
        <v>23193.27</v>
      </c>
      <c r="F226" s="31" t="n">
        <v>-74.67</v>
      </c>
      <c r="G226" s="33" t="n">
        <v>22884.54</v>
      </c>
      <c r="H226" s="24">
        <f>E226-G226</f>
        <v/>
      </c>
      <c r="I226" s="34">
        <f>H226/1000</f>
        <v/>
      </c>
      <c r="J226" s="34">
        <f>AVERAGE(I225:I226)</f>
        <v/>
      </c>
      <c r="K226" s="25" t="n"/>
      <c r="L226" s="25" t="n"/>
      <c r="M226" s="25" t="n"/>
      <c r="N226" s="25" t="n"/>
    </row>
    <row r="227" ht="16.5" customHeight="1" s="56">
      <c r="A227" s="57" t="n">
        <v>45635</v>
      </c>
      <c r="B227" s="27" t="n">
        <v>23287.79</v>
      </c>
      <c r="C227" s="27" t="n">
        <v>23325.99</v>
      </c>
      <c r="D227" s="28" t="n">
        <v>23172.22</v>
      </c>
      <c r="E227" s="27" t="n">
        <v>23273.25</v>
      </c>
      <c r="F227" s="27" t="n">
        <v>79.98</v>
      </c>
      <c r="G227" s="33" t="n">
        <v>22884.54</v>
      </c>
      <c r="H227" s="24">
        <f>E227-G227</f>
        <v/>
      </c>
      <c r="I227" s="34">
        <f>H227/1000</f>
        <v/>
      </c>
      <c r="J227" s="34">
        <f>AVERAGE(I226:I227)</f>
        <v/>
      </c>
      <c r="K227" s="25" t="n"/>
      <c r="L227" s="25" t="n"/>
      <c r="M227" s="25" t="n"/>
      <c r="N227" s="25" t="n"/>
    </row>
    <row r="228" ht="16.5" customHeight="1" s="56">
      <c r="A228" s="58" t="n">
        <v>45636</v>
      </c>
      <c r="B228" s="31" t="n">
        <v>23228.26</v>
      </c>
      <c r="C228" s="32" t="n">
        <v>23329.01</v>
      </c>
      <c r="D228" s="31" t="n">
        <v>23071.43</v>
      </c>
      <c r="E228" s="31" t="n">
        <v>23125.08</v>
      </c>
      <c r="F228" s="31" t="n">
        <v>-148.17</v>
      </c>
      <c r="G228" s="33" t="n">
        <v>22884.54</v>
      </c>
      <c r="H228" s="24">
        <f>E228-G228</f>
        <v/>
      </c>
      <c r="I228" s="34">
        <f>H228/1000</f>
        <v/>
      </c>
      <c r="J228" s="34">
        <f>AVERAGE(I227:I228)</f>
        <v/>
      </c>
      <c r="K228" s="25" t="n"/>
      <c r="L228" s="25" t="n"/>
      <c r="M228" s="25" t="n"/>
      <c r="N228" s="25" t="n"/>
    </row>
    <row r="229" ht="16.5" customHeight="1" s="56">
      <c r="A229" s="57" t="n">
        <v>45637</v>
      </c>
      <c r="B229" s="28" t="n">
        <v>23108.36</v>
      </c>
      <c r="C229" s="28" t="n">
        <v>23108.36</v>
      </c>
      <c r="D229" s="28" t="n">
        <v>22880.57</v>
      </c>
      <c r="E229" s="28" t="n">
        <v>22903.63</v>
      </c>
      <c r="F229" s="28" t="n">
        <v>-221.45</v>
      </c>
      <c r="G229" s="33" t="n">
        <v>22884.54</v>
      </c>
      <c r="H229" s="24">
        <f>E229-G229</f>
        <v/>
      </c>
      <c r="I229" s="34">
        <f>H229/1000</f>
        <v/>
      </c>
      <c r="J229" s="34">
        <f>AVERAGE(I228:I229)</f>
        <v/>
      </c>
      <c r="K229" s="25" t="n"/>
      <c r="L229" s="25" t="n"/>
      <c r="M229" s="25" t="n"/>
      <c r="N229" s="25" t="n"/>
    </row>
    <row r="230" ht="16.5" customHeight="1" s="56">
      <c r="A230" s="58" t="n">
        <v>45638</v>
      </c>
      <c r="B230" s="32" t="n">
        <v>23050.64</v>
      </c>
      <c r="C230" s="32" t="n">
        <v>23189.29</v>
      </c>
      <c r="D230" s="32" t="n">
        <v>23030.48</v>
      </c>
      <c r="E230" s="32" t="n">
        <v>23046.8</v>
      </c>
      <c r="F230" s="32" t="n">
        <v>143.17</v>
      </c>
      <c r="G230" s="33" t="n">
        <v>22884.54</v>
      </c>
      <c r="H230" s="24">
        <f>E230-G230</f>
        <v/>
      </c>
      <c r="I230" s="34">
        <f>H230/1000</f>
        <v/>
      </c>
      <c r="J230" s="34">
        <f>AVERAGE(I229:I230)</f>
        <v/>
      </c>
      <c r="K230" s="25" t="n"/>
      <c r="L230" s="25" t="n"/>
      <c r="M230" s="25" t="n"/>
      <c r="N230" s="25" t="n"/>
    </row>
    <row r="231" ht="16.5" customHeight="1" s="56">
      <c r="A231" s="57" t="n">
        <v>45639</v>
      </c>
      <c r="B231" s="28" t="n">
        <v>23002.37</v>
      </c>
      <c r="C231" s="27" t="n">
        <v>23097.52</v>
      </c>
      <c r="D231" s="28" t="n">
        <v>22920.84</v>
      </c>
      <c r="E231" s="28" t="n">
        <v>23020.48</v>
      </c>
      <c r="F231" s="28" t="n">
        <v>-26.32</v>
      </c>
      <c r="G231" s="33" t="n">
        <v>22884.54</v>
      </c>
      <c r="H231" s="24">
        <f>E231-G231</f>
        <v/>
      </c>
      <c r="I231" s="34">
        <f>H231/1000</f>
        <v/>
      </c>
      <c r="J231" s="34">
        <f>AVERAGE(I230:I231)</f>
        <v/>
      </c>
      <c r="K231" s="25" t="n"/>
      <c r="L231" s="25" t="n"/>
      <c r="M231" s="25" t="n"/>
      <c r="N231" s="25" t="n"/>
    </row>
    <row r="232" ht="16.5" customHeight="1" s="56">
      <c r="A232" s="58" t="n">
        <v>45642</v>
      </c>
      <c r="B232" s="32" t="n">
        <v>23207.21</v>
      </c>
      <c r="C232" s="32" t="n">
        <v>23264.4</v>
      </c>
      <c r="D232" s="31" t="n">
        <v>22959.91</v>
      </c>
      <c r="E232" s="32" t="n">
        <v>23039.9</v>
      </c>
      <c r="F232" s="32" t="n">
        <v>19.42</v>
      </c>
      <c r="G232" s="33" t="n">
        <v>22884.54</v>
      </c>
      <c r="H232" s="24">
        <f>E232-G232</f>
        <v/>
      </c>
      <c r="I232" s="34">
        <f>H232/1000</f>
        <v/>
      </c>
      <c r="J232" s="34">
        <f>AVERAGE(I231:I232)</f>
        <v/>
      </c>
      <c r="K232" s="25" t="n"/>
      <c r="L232" s="25" t="n"/>
      <c r="M232" s="25" t="n"/>
      <c r="N232" s="25" t="n"/>
    </row>
    <row r="233" ht="16.5" customHeight="1" s="56">
      <c r="A233" s="57" t="n">
        <v>45643</v>
      </c>
      <c r="B233" s="27" t="n">
        <v>23131.57</v>
      </c>
      <c r="C233" s="27" t="n">
        <v>23223.51</v>
      </c>
      <c r="D233" s="28" t="n">
        <v>23018.01</v>
      </c>
      <c r="E233" s="28" t="n">
        <v>23018.01</v>
      </c>
      <c r="F233" s="28" t="n">
        <v>-21.89</v>
      </c>
      <c r="G233" s="33" t="n">
        <v>22884.54</v>
      </c>
      <c r="H233" s="24">
        <f>E233-G233</f>
        <v/>
      </c>
      <c r="I233" s="34">
        <f>H233/1000</f>
        <v/>
      </c>
      <c r="J233" s="34">
        <f>AVERAGE(I232:I233)</f>
        <v/>
      </c>
      <c r="K233" s="25" t="n"/>
      <c r="L233" s="25" t="n"/>
      <c r="M233" s="25" t="n"/>
      <c r="N233" s="25" t="n"/>
    </row>
    <row r="234" ht="16.5" customHeight="1" s="56">
      <c r="A234" s="58" t="n">
        <v>45644</v>
      </c>
      <c r="B234" s="31" t="n">
        <v>23014.43</v>
      </c>
      <c r="C234" s="32" t="n">
        <v>23211.17</v>
      </c>
      <c r="D234" s="31" t="n">
        <v>22934.59</v>
      </c>
      <c r="E234" s="32" t="n">
        <v>23168.67</v>
      </c>
      <c r="F234" s="32" t="n">
        <v>150.66</v>
      </c>
      <c r="G234" s="33" t="n">
        <v>22884.54</v>
      </c>
      <c r="H234" s="24">
        <f>E234-G234</f>
        <v/>
      </c>
      <c r="I234" s="34">
        <f>H234/1000</f>
        <v/>
      </c>
      <c r="J234" s="34">
        <f>AVERAGE(I233:I234)</f>
        <v/>
      </c>
      <c r="K234" s="25" t="n"/>
      <c r="L234" s="25" t="n"/>
      <c r="M234" s="25" t="n"/>
      <c r="N234" s="25" t="n"/>
    </row>
    <row r="235" ht="16.5" customHeight="1" s="56">
      <c r="A235" s="57" t="n">
        <v>45645</v>
      </c>
      <c r="B235" s="28" t="n">
        <v>22947.56</v>
      </c>
      <c r="C235" s="28" t="n">
        <v>22947.56</v>
      </c>
      <c r="D235" s="28" t="n">
        <v>22743.3</v>
      </c>
      <c r="E235" s="28" t="n">
        <v>22932.25</v>
      </c>
      <c r="F235" s="28" t="n">
        <v>-236.42</v>
      </c>
      <c r="G235" s="33" t="n">
        <v>22884.54</v>
      </c>
      <c r="H235" s="24">
        <f>E235-G235</f>
        <v/>
      </c>
      <c r="I235" s="34">
        <f>H235/1000</f>
        <v/>
      </c>
      <c r="J235" s="34">
        <f>AVERAGE(I234:I235)</f>
        <v/>
      </c>
      <c r="K235" s="25" t="n"/>
      <c r="L235" s="25" t="n"/>
      <c r="M235" s="25" t="n"/>
      <c r="N235" s="25" t="n"/>
    </row>
    <row r="236" ht="16.5" customHeight="1" s="56">
      <c r="A236" s="58" t="n">
        <v>45646</v>
      </c>
      <c r="B236" s="31" t="n">
        <v>22798.39</v>
      </c>
      <c r="C236" s="31" t="n">
        <v>22845.59</v>
      </c>
      <c r="D236" s="31" t="n">
        <v>22510.25</v>
      </c>
      <c r="E236" s="31" t="n">
        <v>22510.25</v>
      </c>
      <c r="F236" s="31" t="n">
        <v>-422</v>
      </c>
      <c r="G236" s="33" t="n">
        <v>22884.54</v>
      </c>
      <c r="H236" s="24">
        <f>E236-G236</f>
        <v/>
      </c>
      <c r="I236" s="34">
        <f>H236/1000</f>
        <v/>
      </c>
      <c r="J236" s="34">
        <f>AVERAGE(I235:I236)</f>
        <v/>
      </c>
      <c r="K236" s="25" t="inlineStr">
        <is>
          <t>賣訊出現，隔日開盤做空</t>
        </is>
      </c>
      <c r="L236" s="25" t="n"/>
      <c r="M236" s="25" t="n"/>
      <c r="N236" s="25" t="n"/>
    </row>
    <row r="237" ht="16.5" customHeight="1" s="56">
      <c r="A237" s="57" t="n">
        <v>45649</v>
      </c>
      <c r="B237" s="27" t="n">
        <v>22811.56</v>
      </c>
      <c r="C237" s="27" t="n">
        <v>23132.25</v>
      </c>
      <c r="D237" s="27" t="n">
        <v>22811.56</v>
      </c>
      <c r="E237" s="27" t="n">
        <v>23104.54</v>
      </c>
      <c r="F237" s="27" t="n">
        <v>594.29</v>
      </c>
      <c r="G237" s="33" t="n">
        <v>22884.54</v>
      </c>
      <c r="H237" s="24">
        <f>E237-G237</f>
        <v/>
      </c>
      <c r="I237" s="34">
        <f>H237/1000</f>
        <v/>
      </c>
      <c r="J237" s="34">
        <f>AVERAGE(I236:I237)</f>
        <v/>
      </c>
      <c r="K237" s="25" t="inlineStr">
        <is>
          <t>買訊出現，隔日開盤做多</t>
        </is>
      </c>
      <c r="L237" s="25" t="n"/>
      <c r="M237" s="25" t="n">
        <v>22811</v>
      </c>
      <c r="N237" s="25">
        <f>M237-L224</f>
        <v/>
      </c>
    </row>
    <row r="238" ht="16.5" customHeight="1" s="56">
      <c r="A238" s="58" t="n">
        <v>45650</v>
      </c>
      <c r="B238" s="32" t="n">
        <v>23260.74</v>
      </c>
      <c r="C238" s="32" t="n">
        <v>23326.25</v>
      </c>
      <c r="D238" s="32" t="n">
        <v>23120.24</v>
      </c>
      <c r="E238" s="32" t="n">
        <v>23120.24</v>
      </c>
      <c r="F238" s="32" t="n">
        <v>15.7</v>
      </c>
      <c r="G238" s="33" t="n">
        <v>22884.54</v>
      </c>
      <c r="H238" s="24">
        <f>E238-G238</f>
        <v/>
      </c>
      <c r="I238" s="34">
        <f>H238/1000</f>
        <v/>
      </c>
      <c r="J238" s="34">
        <f>AVERAGE(I237:I238)</f>
        <v/>
      </c>
      <c r="K238" s="25" t="n"/>
      <c r="L238" s="25" t="n">
        <v>23260</v>
      </c>
      <c r="M238" s="25" t="n"/>
      <c r="N238" s="25">
        <f>M237-L238</f>
        <v/>
      </c>
    </row>
    <row r="239" ht="16.5" customHeight="1" s="56">
      <c r="A239" s="57" t="n">
        <v>45651</v>
      </c>
      <c r="B239" s="27" t="n">
        <v>23226.35</v>
      </c>
      <c r="C239" s="27" t="n">
        <v>23296.36</v>
      </c>
      <c r="D239" s="27" t="n">
        <v>23159.36</v>
      </c>
      <c r="E239" s="27" t="n">
        <v>23220.13</v>
      </c>
      <c r="F239" s="27" t="n">
        <v>99.89</v>
      </c>
      <c r="G239" s="33" t="n">
        <v>22884.54</v>
      </c>
      <c r="H239" s="24">
        <f>E239-G239</f>
        <v/>
      </c>
      <c r="I239" s="34">
        <f>H239/1000</f>
        <v/>
      </c>
      <c r="J239" s="34">
        <f>AVERAGE(I238:I239)</f>
        <v/>
      </c>
      <c r="K239" s="25" t="n"/>
      <c r="L239" s="25" t="n"/>
      <c r="M239" s="25" t="n"/>
      <c r="N239" s="25" t="n"/>
    </row>
    <row r="240" ht="16.5" customHeight="1" s="56">
      <c r="A240" s="58" t="n">
        <v>45652</v>
      </c>
      <c r="B240" s="32" t="n">
        <v>23276.08</v>
      </c>
      <c r="C240" s="32" t="n">
        <v>23320.62</v>
      </c>
      <c r="D240" s="32" t="n">
        <v>23241.94</v>
      </c>
      <c r="E240" s="32" t="n">
        <v>23246.94</v>
      </c>
      <c r="F240" s="32" t="n">
        <v>26.81</v>
      </c>
      <c r="G240" s="33" t="n">
        <v>22884.54</v>
      </c>
      <c r="H240" s="24">
        <f>E240-G240</f>
        <v/>
      </c>
      <c r="I240" s="34">
        <f>H240/1000</f>
        <v/>
      </c>
      <c r="J240" s="34">
        <f>AVERAGE(I239:I240)</f>
        <v/>
      </c>
      <c r="K240" s="25" t="n"/>
      <c r="L240" s="25" t="n"/>
      <c r="M240" s="25" t="n"/>
      <c r="N240" s="25" t="n"/>
    </row>
    <row r="241" ht="16.5" customHeight="1" s="56">
      <c r="A241" s="57" t="n">
        <v>45653</v>
      </c>
      <c r="B241" s="27" t="n">
        <v>23251.28</v>
      </c>
      <c r="C241" s="27" t="n">
        <v>23335.66</v>
      </c>
      <c r="D241" s="28" t="n">
        <v>23204.35</v>
      </c>
      <c r="E241" s="27" t="n">
        <v>23275.68</v>
      </c>
      <c r="F241" s="27" t="n">
        <v>28.74</v>
      </c>
      <c r="G241" s="33" t="n">
        <v>22884.54</v>
      </c>
      <c r="H241" s="24">
        <f>E241-G241</f>
        <v/>
      </c>
      <c r="I241" s="34">
        <f>H241/1000</f>
        <v/>
      </c>
      <c r="J241" s="34">
        <f>AVERAGE(I240:I241)</f>
        <v/>
      </c>
      <c r="K241" s="25" t="n"/>
      <c r="L241" s="25" t="n"/>
      <c r="M241" s="25" t="n"/>
      <c r="N241" s="25" t="n"/>
    </row>
    <row r="242" ht="16.5" customHeight="1" s="56">
      <c r="A242" s="58" t="n">
        <v>45656</v>
      </c>
      <c r="B242" s="31" t="n">
        <v>23274.26</v>
      </c>
      <c r="C242" s="32" t="n">
        <v>23331.67</v>
      </c>
      <c r="D242" s="31" t="n">
        <v>23159.7</v>
      </c>
      <c r="E242" s="31" t="n">
        <v>23190.2</v>
      </c>
      <c r="F242" s="31" t="n">
        <v>-85.48</v>
      </c>
      <c r="G242" s="33" t="n">
        <v>22884.54</v>
      </c>
      <c r="H242" s="24">
        <f>E242-G242</f>
        <v/>
      </c>
      <c r="I242" s="34">
        <f>H242/1000</f>
        <v/>
      </c>
      <c r="J242" s="34">
        <f>AVERAGE(I241:I242)</f>
        <v/>
      </c>
      <c r="K242" s="25" t="n"/>
      <c r="L242" s="25" t="n"/>
      <c r="M242" s="25" t="n"/>
      <c r="N242" s="25" t="n"/>
    </row>
    <row r="243" ht="16.5" customHeight="1" s="56">
      <c r="A243" s="57" t="n">
        <v>45657</v>
      </c>
      <c r="B243" s="28" t="n">
        <v>23094.07</v>
      </c>
      <c r="C243" s="28" t="n">
        <v>23123.96</v>
      </c>
      <c r="D243" s="28" t="n">
        <v>22972.99</v>
      </c>
      <c r="E243" s="28" t="n">
        <v>23035.1</v>
      </c>
      <c r="F243" s="28" t="n">
        <v>-155.1</v>
      </c>
      <c r="G243" s="33" t="n">
        <v>22884.54</v>
      </c>
      <c r="H243" s="24">
        <f>E243-G243</f>
        <v/>
      </c>
      <c r="I243" s="34">
        <f>H243/1000</f>
        <v/>
      </c>
      <c r="J243" s="34">
        <f>AVERAGE(I242:I243)</f>
        <v/>
      </c>
      <c r="K243" s="25" t="n"/>
      <c r="L243" s="25" t="n"/>
      <c r="M243" s="25" t="n"/>
      <c r="N243" s="25" t="n"/>
    </row>
    <row r="244" ht="16.5" customHeight="1" s="56">
      <c r="A244" s="58" t="n">
        <v>45659</v>
      </c>
      <c r="B244" s="31" t="n">
        <v>22975.71</v>
      </c>
      <c r="C244" s="32" t="n">
        <v>23038.08</v>
      </c>
      <c r="D244" s="31" t="n">
        <v>22713.63</v>
      </c>
      <c r="E244" s="31" t="n">
        <v>22832.06</v>
      </c>
      <c r="F244" s="31" t="n">
        <v>-203.04</v>
      </c>
      <c r="G244" s="29" t="n">
        <v>22877.54</v>
      </c>
      <c r="H244" s="24">
        <f>E244-G244</f>
        <v/>
      </c>
      <c r="I244" s="34">
        <f>H244/1000</f>
        <v/>
      </c>
      <c r="J244" s="34">
        <f>AVERAGE(I243:I244)</f>
        <v/>
      </c>
      <c r="K244" s="25" t="inlineStr">
        <is>
          <t>賣訊出現，隔日開盤做空</t>
        </is>
      </c>
      <c r="L244" s="25" t="n"/>
      <c r="M244" s="25" t="n"/>
      <c r="N244" s="25" t="n"/>
    </row>
    <row r="245" ht="16.5" customHeight="1" s="56">
      <c r="A245" s="57" t="n">
        <v>45660</v>
      </c>
      <c r="B245" s="27" t="n">
        <v>23018.56</v>
      </c>
      <c r="C245" s="27" t="n">
        <v>23092.07</v>
      </c>
      <c r="D245" s="27" t="n">
        <v>22905.4</v>
      </c>
      <c r="E245" s="27" t="n">
        <v>22908.3</v>
      </c>
      <c r="F245" s="27" t="n">
        <v>76.23999999999999</v>
      </c>
      <c r="G245" s="29" t="n">
        <v>22877.54</v>
      </c>
      <c r="H245" s="24">
        <f>E245-G245</f>
        <v/>
      </c>
      <c r="I245" s="34">
        <f>H245/1000</f>
        <v/>
      </c>
      <c r="J245" s="34">
        <f>AVERAGE(I244:I245)</f>
        <v/>
      </c>
      <c r="K245" s="25" t="inlineStr">
        <is>
          <t>買訊出現，隔日開盤做多</t>
        </is>
      </c>
      <c r="L245" s="25" t="n"/>
      <c r="M245" s="25" t="n">
        <v>23018</v>
      </c>
      <c r="N245" s="25">
        <f>M245-L238</f>
        <v/>
      </c>
    </row>
    <row r="246" ht="16.5" customHeight="1" s="56">
      <c r="A246" s="58" t="n">
        <v>45663</v>
      </c>
      <c r="B246" s="32" t="n">
        <v>23131.79</v>
      </c>
      <c r="C246" s="32" t="n">
        <v>23553.29</v>
      </c>
      <c r="D246" s="32" t="n">
        <v>23131.79</v>
      </c>
      <c r="E246" s="32" t="n">
        <v>23547.71</v>
      </c>
      <c r="F246" s="32" t="n">
        <v>639.41</v>
      </c>
      <c r="G246" s="29" t="n">
        <v>22877.54</v>
      </c>
      <c r="H246" s="24">
        <f>E246-G246</f>
        <v/>
      </c>
      <c r="I246" s="34">
        <f>H246/1000</f>
        <v/>
      </c>
      <c r="J246" s="34">
        <f>AVERAGE(I245:I246)</f>
        <v/>
      </c>
      <c r="K246" s="25" t="n"/>
      <c r="L246" s="25" t="n">
        <v>23131</v>
      </c>
      <c r="M246" s="25" t="n"/>
      <c r="N246" s="25">
        <f>M245-L246</f>
        <v/>
      </c>
    </row>
    <row r="247" ht="16.5" customHeight="1" s="56">
      <c r="A247" s="57" t="n">
        <v>45664</v>
      </c>
      <c r="B247" s="27" t="n">
        <v>23824.72</v>
      </c>
      <c r="C247" s="27" t="n">
        <v>23943.95</v>
      </c>
      <c r="D247" s="27" t="n">
        <v>23651.27</v>
      </c>
      <c r="E247" s="27" t="n">
        <v>23651.27</v>
      </c>
      <c r="F247" s="27" t="n">
        <v>103.56</v>
      </c>
      <c r="G247" s="29" t="n">
        <v>22877.54</v>
      </c>
      <c r="H247" s="24">
        <f>E247-G247</f>
        <v/>
      </c>
      <c r="I247" s="34">
        <f>H247/1000</f>
        <v/>
      </c>
      <c r="J247" s="34">
        <f>AVERAGE(I246:I247)</f>
        <v/>
      </c>
      <c r="K247" s="25" t="n"/>
      <c r="L247" s="25" t="n"/>
      <c r="M247" s="25" t="n"/>
      <c r="N247" s="25" t="n"/>
    </row>
    <row r="248" ht="16.5" customHeight="1" s="56">
      <c r="A248" s="58" t="n">
        <v>45665</v>
      </c>
      <c r="B248" s="31" t="n">
        <v>23522.29</v>
      </c>
      <c r="C248" s="32" t="n">
        <v>23671.28</v>
      </c>
      <c r="D248" s="31" t="n">
        <v>23388.63</v>
      </c>
      <c r="E248" s="31" t="n">
        <v>23407.33</v>
      </c>
      <c r="F248" s="31" t="n">
        <v>-243.94</v>
      </c>
      <c r="G248" s="29" t="n">
        <v>22877.54</v>
      </c>
      <c r="H248" s="24">
        <f>E248-G248</f>
        <v/>
      </c>
      <c r="I248" s="34">
        <f>H248/1000</f>
        <v/>
      </c>
      <c r="J248" s="34">
        <f>AVERAGE(I247:I248)</f>
        <v/>
      </c>
      <c r="K248" s="25" t="n"/>
      <c r="L248" s="25" t="n"/>
      <c r="M248" s="25" t="n"/>
      <c r="N248" s="25" t="n"/>
    </row>
    <row r="249" ht="16.5" customHeight="1" s="56">
      <c r="A249" s="57" t="n">
        <v>45666</v>
      </c>
      <c r="B249" s="28" t="n">
        <v>23406.72</v>
      </c>
      <c r="C249" s="27" t="n">
        <v>23463.96</v>
      </c>
      <c r="D249" s="28" t="n">
        <v>23081.13</v>
      </c>
      <c r="E249" s="28" t="n">
        <v>23081.13</v>
      </c>
      <c r="F249" s="28" t="n">
        <v>-326.2</v>
      </c>
      <c r="G249" s="29" t="n">
        <v>22877.54</v>
      </c>
      <c r="H249" s="24">
        <f>E249-G249</f>
        <v/>
      </c>
      <c r="I249" s="34">
        <f>H249/1000</f>
        <v/>
      </c>
      <c r="J249" s="34">
        <f>AVERAGE(I248:I249)</f>
        <v/>
      </c>
      <c r="K249" s="25" t="n"/>
      <c r="L249" s="25" t="n"/>
      <c r="M249" s="25" t="n"/>
      <c r="N249" s="25" t="n"/>
    </row>
    <row r="250" ht="16.5" customHeight="1" s="56">
      <c r="A250" s="58" t="n">
        <v>45667</v>
      </c>
      <c r="B250" s="31" t="n">
        <v>23067.46</v>
      </c>
      <c r="C250" s="32" t="n">
        <v>23202.25</v>
      </c>
      <c r="D250" s="31" t="n">
        <v>22989.67</v>
      </c>
      <c r="E250" s="31" t="n">
        <v>23011.86</v>
      </c>
      <c r="F250" s="31" t="n">
        <v>-69.27</v>
      </c>
      <c r="G250" s="29" t="n">
        <v>22877.54</v>
      </c>
      <c r="H250" s="24">
        <f>E250-G250</f>
        <v/>
      </c>
      <c r="I250" s="34">
        <f>H250/1000</f>
        <v/>
      </c>
      <c r="J250" s="34">
        <f>AVERAGE(I249:I250)</f>
        <v/>
      </c>
      <c r="K250" s="25" t="n"/>
      <c r="L250" s="25" t="n"/>
      <c r="M250" s="25" t="n"/>
      <c r="N250" s="25" t="n"/>
    </row>
    <row r="251" ht="16.5" customHeight="1" s="56">
      <c r="A251" s="57" t="n">
        <v>45670</v>
      </c>
      <c r="B251" s="27" t="n">
        <v>23070.32</v>
      </c>
      <c r="C251" s="27" t="n">
        <v>23070.32</v>
      </c>
      <c r="D251" s="28" t="n">
        <v>22458.22</v>
      </c>
      <c r="E251" s="28" t="n">
        <v>22488.33</v>
      </c>
      <c r="F251" s="28" t="n">
        <v>-523.53</v>
      </c>
      <c r="G251" s="29" t="n">
        <v>22877.54</v>
      </c>
      <c r="H251" s="24">
        <f>E251-G251</f>
        <v/>
      </c>
      <c r="I251" s="34">
        <f>H251/1000</f>
        <v/>
      </c>
      <c r="J251" s="34">
        <f>AVERAGE(I250:I251)</f>
        <v/>
      </c>
      <c r="K251" s="25" t="inlineStr">
        <is>
          <t>賣訊出現，隔日開盤做空</t>
        </is>
      </c>
      <c r="L251" s="25" t="n"/>
      <c r="M251" s="25" t="n"/>
      <c r="N251" s="25" t="n"/>
    </row>
    <row r="252" ht="16.5" customHeight="1" s="56">
      <c r="A252" s="58" t="n">
        <v>45671</v>
      </c>
      <c r="B252" s="32" t="n">
        <v>22573.96</v>
      </c>
      <c r="C252" s="32" t="n">
        <v>22797.52</v>
      </c>
      <c r="D252" s="32" t="n">
        <v>22542.93</v>
      </c>
      <c r="E252" s="32" t="n">
        <v>22797.52</v>
      </c>
      <c r="F252" s="32" t="n">
        <v>309.19</v>
      </c>
      <c r="G252" s="29" t="n">
        <v>22877.54</v>
      </c>
      <c r="H252" s="24">
        <f>E252-G252</f>
        <v/>
      </c>
      <c r="I252" s="34">
        <f>H252/1000</f>
        <v/>
      </c>
      <c r="J252" s="34">
        <f>AVERAGE(I251:I252)</f>
        <v/>
      </c>
      <c r="K252" s="25" t="n"/>
      <c r="L252" s="25" t="n"/>
      <c r="M252" s="25" t="n">
        <v>22573</v>
      </c>
      <c r="N252" s="25">
        <f>M252-L246</f>
        <v/>
      </c>
    </row>
    <row r="253" ht="16.5" customHeight="1" s="56">
      <c r="A253" s="57" t="n">
        <v>45672</v>
      </c>
      <c r="B253" s="28" t="n">
        <v>22757.46</v>
      </c>
      <c r="C253" s="28" t="n">
        <v>22777.34</v>
      </c>
      <c r="D253" s="28" t="n">
        <v>22509.65</v>
      </c>
      <c r="E253" s="28" t="n">
        <v>22514.57</v>
      </c>
      <c r="F253" s="28" t="n">
        <v>-282.95</v>
      </c>
      <c r="G253" s="29" t="n">
        <v>22877.54</v>
      </c>
      <c r="H253" s="24">
        <f>E253-G253</f>
        <v/>
      </c>
      <c r="I253" s="34">
        <f>H253/1000</f>
        <v/>
      </c>
      <c r="J253" s="34">
        <f>AVERAGE(I252:I253)</f>
        <v/>
      </c>
      <c r="K253" s="25" t="n"/>
      <c r="L253" s="25" t="n"/>
      <c r="M253" s="25" t="n"/>
      <c r="N253" s="25" t="n"/>
    </row>
    <row r="254" ht="16.5" customHeight="1" s="56">
      <c r="A254" s="58" t="n">
        <v>45673</v>
      </c>
      <c r="B254" s="32" t="n">
        <v>22817.52</v>
      </c>
      <c r="C254" s="32" t="n">
        <v>23147.69</v>
      </c>
      <c r="D254" s="32" t="n">
        <v>22817.52</v>
      </c>
      <c r="E254" s="32" t="n">
        <v>23025.1</v>
      </c>
      <c r="F254" s="32" t="n">
        <v>510.53</v>
      </c>
      <c r="G254" s="29" t="n">
        <v>22877.54</v>
      </c>
      <c r="H254" s="24">
        <f>E254-G254</f>
        <v/>
      </c>
      <c r="I254" s="34">
        <f>H254/1000</f>
        <v/>
      </c>
      <c r="J254" s="34">
        <f>AVERAGE(I253:I254)</f>
        <v/>
      </c>
      <c r="K254" s="25" t="inlineStr">
        <is>
          <t>買訊出現，隔日開盤做多</t>
        </is>
      </c>
      <c r="L254" s="25" t="n"/>
      <c r="M254" s="25" t="n"/>
      <c r="N254" s="25" t="n"/>
    </row>
    <row r="255" ht="16.5" customHeight="1" s="56">
      <c r="A255" s="57" t="n">
        <v>45674</v>
      </c>
      <c r="B255" s="27" t="n">
        <v>23190.12</v>
      </c>
      <c r="C255" s="27" t="n">
        <v>23209.88</v>
      </c>
      <c r="D255" s="28" t="n">
        <v>22905.53</v>
      </c>
      <c r="E255" s="27" t="n">
        <v>23148.08</v>
      </c>
      <c r="F255" s="27" t="n">
        <v>122.98</v>
      </c>
      <c r="G255" s="29" t="n">
        <v>22877.54</v>
      </c>
      <c r="H255" s="24">
        <f>E255-G255</f>
        <v/>
      </c>
      <c r="I255" s="34">
        <f>H255/1000</f>
        <v/>
      </c>
      <c r="J255" s="34">
        <f>AVERAGE(I254:I255)</f>
        <v/>
      </c>
      <c r="K255" s="25" t="n"/>
      <c r="L255" s="25" t="n">
        <v>23190.12</v>
      </c>
      <c r="M255" s="25" t="n"/>
      <c r="N255" s="25">
        <f>M252-L255</f>
        <v/>
      </c>
    </row>
    <row r="256" ht="16.5" customHeight="1" s="56">
      <c r="A256" s="58" t="n">
        <v>45677</v>
      </c>
      <c r="B256" s="32" t="n">
        <v>23203.47</v>
      </c>
      <c r="C256" s="32" t="n">
        <v>23346.64</v>
      </c>
      <c r="D256" s="32" t="n">
        <v>23176.43</v>
      </c>
      <c r="E256" s="32" t="n">
        <v>23266.82</v>
      </c>
      <c r="F256" s="32" t="n">
        <v>118.74</v>
      </c>
      <c r="G256" s="29" t="n">
        <v>22877.54</v>
      </c>
      <c r="H256" s="24">
        <f>E256-G256</f>
        <v/>
      </c>
      <c r="I256" s="34">
        <f>H256/1000</f>
        <v/>
      </c>
      <c r="J256" s="34">
        <f>AVERAGE(I255:I256)</f>
        <v/>
      </c>
      <c r="K256" s="25" t="n"/>
      <c r="L256" s="25" t="n"/>
      <c r="M256" s="25" t="n"/>
      <c r="N256" s="25" t="n"/>
    </row>
    <row r="257" ht="16.5" customHeight="1" s="56">
      <c r="A257" s="57" t="n">
        <v>45678</v>
      </c>
      <c r="B257" s="28" t="n">
        <v>23266.49</v>
      </c>
      <c r="C257" s="27" t="n">
        <v>23377.64</v>
      </c>
      <c r="D257" s="28" t="n">
        <v>23174.02</v>
      </c>
      <c r="E257" s="27" t="n">
        <v>23300.01</v>
      </c>
      <c r="F257" s="27" t="n">
        <v>33.19</v>
      </c>
      <c r="G257" s="29" t="n">
        <v>22877.54</v>
      </c>
      <c r="H257" s="24">
        <f>E257-G257</f>
        <v/>
      </c>
      <c r="I257" s="34">
        <f>H257/1000</f>
        <v/>
      </c>
      <c r="J257" s="34">
        <f>AVERAGE(I256:I257)</f>
        <v/>
      </c>
      <c r="K257" s="25" t="n"/>
      <c r="L257" s="25" t="n"/>
      <c r="M257" s="25" t="n"/>
      <c r="N257" s="25" t="n"/>
    </row>
    <row r="258" ht="16.5" customHeight="1" s="56">
      <c r="A258" s="58" t="n">
        <v>45679</v>
      </c>
      <c r="B258" s="32" t="n">
        <v>23472.67</v>
      </c>
      <c r="C258" s="32" t="n">
        <v>23642.08</v>
      </c>
      <c r="D258" s="32" t="n">
        <v>23472.67</v>
      </c>
      <c r="E258" s="32" t="n">
        <v>23525.41</v>
      </c>
      <c r="F258" s="32" t="n">
        <v>225.4</v>
      </c>
      <c r="G258" s="29" t="n">
        <v>22877.54</v>
      </c>
      <c r="H258" s="24">
        <f>E258-G258</f>
        <v/>
      </c>
      <c r="I258" s="34">
        <f>H258/1000</f>
        <v/>
      </c>
      <c r="J258" s="34">
        <f>AVERAGE(I257:I258)</f>
        <v/>
      </c>
      <c r="K258" s="25" t="n"/>
      <c r="L258" s="25" t="n"/>
      <c r="M258" s="25" t="n"/>
      <c r="N258" s="25" t="n"/>
    </row>
    <row r="259" ht="16.5" customHeight="1" s="56">
      <c r="A259" s="57" t="n">
        <v>45691</v>
      </c>
      <c r="B259" s="28" t="n">
        <v>22796.71</v>
      </c>
      <c r="C259" s="28" t="n">
        <v>22796.71</v>
      </c>
      <c r="D259" s="28" t="n">
        <v>22502.2</v>
      </c>
      <c r="E259" s="28" t="n">
        <v>22694.71</v>
      </c>
      <c r="F259" s="28" t="n">
        <v>-830.7</v>
      </c>
      <c r="G259" s="33" t="n">
        <v>23200.225</v>
      </c>
      <c r="H259" s="24">
        <f>E259-G259</f>
        <v/>
      </c>
      <c r="I259" s="34">
        <f>H259/1000</f>
        <v/>
      </c>
      <c r="J259" s="34">
        <f>AVERAGE(I258:I259)</f>
        <v/>
      </c>
      <c r="K259" s="25" t="inlineStr">
        <is>
          <t>賣訊出現，隔日開盤做空</t>
        </is>
      </c>
      <c r="L259" s="25" t="n"/>
      <c r="M259" s="25" t="n"/>
      <c r="N259" s="25" t="n"/>
    </row>
    <row r="260" ht="16.5" customHeight="1" s="56">
      <c r="A260" s="58" t="n">
        <v>45692</v>
      </c>
      <c r="B260" s="32" t="n">
        <v>22836.27</v>
      </c>
      <c r="C260" s="32" t="n">
        <v>22934.31</v>
      </c>
      <c r="D260" s="32" t="n">
        <v>22720.62</v>
      </c>
      <c r="E260" s="32" t="n">
        <v>22793.96</v>
      </c>
      <c r="F260" s="32" t="n">
        <v>99.25</v>
      </c>
      <c r="G260" s="33" t="n">
        <v>23200.225</v>
      </c>
      <c r="H260" s="24">
        <f>E260-G260</f>
        <v/>
      </c>
      <c r="I260" s="34">
        <f>H260/1000</f>
        <v/>
      </c>
      <c r="J260" s="34">
        <f>AVERAGE(I259:I260)</f>
        <v/>
      </c>
      <c r="K260" s="25" t="n"/>
      <c r="L260" s="25" t="n"/>
      <c r="M260" s="25" t="n">
        <v>22836.27</v>
      </c>
      <c r="N260" s="25">
        <f>M260-L255</f>
        <v/>
      </c>
    </row>
    <row r="261" ht="16.5" customHeight="1" s="56">
      <c r="A261" s="57" t="n">
        <v>45693</v>
      </c>
      <c r="B261" s="27" t="n">
        <v>22916.38</v>
      </c>
      <c r="C261" s="27" t="n">
        <v>23249.33</v>
      </c>
      <c r="D261" s="27" t="n">
        <v>22916.38</v>
      </c>
      <c r="E261" s="27" t="n">
        <v>23161.58</v>
      </c>
      <c r="F261" s="27" t="n">
        <v>367.62</v>
      </c>
      <c r="G261" s="33" t="n">
        <v>23200.225</v>
      </c>
      <c r="H261" s="24">
        <f>E261-G261</f>
        <v/>
      </c>
      <c r="I261" s="34">
        <f>H261/1000</f>
        <v/>
      </c>
      <c r="J261" s="34">
        <f>AVERAGE(I260:I261)</f>
        <v/>
      </c>
      <c r="K261" s="25" t="n"/>
      <c r="L261" s="25" t="n"/>
      <c r="M261" s="25" t="n"/>
      <c r="N261" s="25" t="n"/>
    </row>
    <row r="262" ht="16.5" customHeight="1" s="56">
      <c r="A262" s="58" t="n">
        <v>45694</v>
      </c>
      <c r="B262" s="32" t="n">
        <v>23226.5</v>
      </c>
      <c r="C262" s="32" t="n">
        <v>23348.42</v>
      </c>
      <c r="D262" s="32" t="n">
        <v>23216.65</v>
      </c>
      <c r="E262" s="32" t="n">
        <v>23316.6</v>
      </c>
      <c r="F262" s="32" t="n">
        <v>155.02</v>
      </c>
      <c r="G262" s="33" t="n">
        <v>23200.225</v>
      </c>
      <c r="H262" s="24">
        <f>E262-G262</f>
        <v/>
      </c>
      <c r="I262" s="34">
        <f>H262/1000</f>
        <v/>
      </c>
      <c r="J262" s="34">
        <f>AVERAGE(I261:I262)</f>
        <v/>
      </c>
      <c r="K262" s="25" t="inlineStr">
        <is>
          <t>買訊出現，隔日開盤做多</t>
        </is>
      </c>
      <c r="L262" s="25" t="n"/>
      <c r="M262" s="25" t="n"/>
      <c r="N262" s="25" t="n"/>
    </row>
    <row r="263" ht="16.5" customHeight="1" s="56">
      <c r="A263" s="57" t="n">
        <v>45695</v>
      </c>
      <c r="B263" s="28" t="n">
        <v>23289.97</v>
      </c>
      <c r="C263" s="27" t="n">
        <v>23478.27</v>
      </c>
      <c r="D263" s="28" t="n">
        <v>23254.17</v>
      </c>
      <c r="E263" s="27" t="n">
        <v>23478.27</v>
      </c>
      <c r="F263" s="27" t="n">
        <v>161.67</v>
      </c>
      <c r="G263" s="33" t="n">
        <v>23200.225</v>
      </c>
      <c r="H263" s="24">
        <f>E263-G263</f>
        <v/>
      </c>
      <c r="I263" s="34">
        <f>H263/1000</f>
        <v/>
      </c>
      <c r="J263" s="34">
        <f>AVERAGE(I262:I263)</f>
        <v/>
      </c>
      <c r="K263" s="25" t="n"/>
      <c r="L263" s="25" t="n">
        <v>23289.97</v>
      </c>
      <c r="M263" s="25" t="n"/>
      <c r="N263" s="25">
        <f>M260-L263</f>
        <v/>
      </c>
    </row>
    <row r="264" ht="16.5" customHeight="1" s="56">
      <c r="A264" s="58" t="n">
        <v>45698</v>
      </c>
      <c r="B264" s="31" t="n">
        <v>23421.77</v>
      </c>
      <c r="C264" s="31" t="n">
        <v>23448.16</v>
      </c>
      <c r="D264" s="31" t="n">
        <v>23163.85</v>
      </c>
      <c r="E264" s="31" t="n">
        <v>23252.14</v>
      </c>
      <c r="F264" s="31" t="n">
        <v>-226.13</v>
      </c>
      <c r="G264" s="33" t="n">
        <v>23200.225</v>
      </c>
      <c r="H264" s="24">
        <f>E264-G264</f>
        <v/>
      </c>
      <c r="I264" s="34">
        <f>H264/1000</f>
        <v/>
      </c>
      <c r="J264" s="34">
        <f>AVERAGE(I263:I264)</f>
        <v/>
      </c>
      <c r="K264" s="25" t="n"/>
      <c r="L264" s="25" t="n"/>
      <c r="M264" s="25" t="n"/>
      <c r="N264" s="25" t="n"/>
    </row>
    <row r="265" ht="16.5" customHeight="1" s="56">
      <c r="A265" s="57" t="n">
        <v>45699</v>
      </c>
      <c r="B265" s="27" t="n">
        <v>23321.92</v>
      </c>
      <c r="C265" s="27" t="n">
        <v>23485.51</v>
      </c>
      <c r="D265" s="27" t="n">
        <v>23289.76</v>
      </c>
      <c r="E265" s="27" t="n">
        <v>23384.05</v>
      </c>
      <c r="F265" s="27" t="n">
        <v>131.91</v>
      </c>
      <c r="G265" s="33" t="n">
        <v>23200.225</v>
      </c>
      <c r="H265" s="24">
        <f>E265-G265</f>
        <v/>
      </c>
      <c r="I265" s="34">
        <f>H265/1000</f>
        <v/>
      </c>
      <c r="J265" s="34">
        <f>AVERAGE(I264:I265)</f>
        <v/>
      </c>
      <c r="K265" s="25" t="n"/>
      <c r="L265" s="25" t="n"/>
      <c r="M265" s="25" t="n"/>
      <c r="N265" s="25" t="n"/>
    </row>
    <row r="266" ht="16.5" customHeight="1" s="56">
      <c r="A266" s="58" t="n">
        <v>45700</v>
      </c>
      <c r="B266" s="32" t="n">
        <v>23449.31</v>
      </c>
      <c r="C266" s="32" t="n">
        <v>23528.61</v>
      </c>
      <c r="D266" s="31" t="n">
        <v>23289.75</v>
      </c>
      <c r="E266" s="31" t="n">
        <v>23289.75</v>
      </c>
      <c r="F266" s="31" t="n">
        <v>-94.3</v>
      </c>
      <c r="G266" s="33" t="n">
        <v>23200.225</v>
      </c>
      <c r="H266" s="24">
        <f>E266-G266</f>
        <v/>
      </c>
      <c r="I266" s="34">
        <f>H266/1000</f>
        <v/>
      </c>
      <c r="J266" s="34">
        <f>AVERAGE(I265:I266)</f>
        <v/>
      </c>
      <c r="K266" s="25" t="n"/>
      <c r="L266" s="25" t="n"/>
      <c r="M266" s="25" t="n"/>
      <c r="N266" s="25" t="n"/>
    </row>
    <row r="267" ht="16.5" customHeight="1" s="56">
      <c r="A267" s="57" t="n">
        <v>45701</v>
      </c>
      <c r="B267" s="28" t="n">
        <v>23263.28</v>
      </c>
      <c r="C267" s="27" t="n">
        <v>23413.1</v>
      </c>
      <c r="D267" s="28" t="n">
        <v>23206.45</v>
      </c>
      <c r="E267" s="27" t="n">
        <v>23399.41</v>
      </c>
      <c r="F267" s="27" t="n">
        <v>109.66</v>
      </c>
      <c r="G267" s="33" t="n">
        <v>23200.225</v>
      </c>
      <c r="H267" s="24">
        <f>E267-G267</f>
        <v/>
      </c>
      <c r="I267" s="34">
        <f>H267/1000</f>
        <v/>
      </c>
      <c r="J267" s="34">
        <f>AVERAGE(I266:I267)</f>
        <v/>
      </c>
      <c r="K267" s="25" t="n"/>
      <c r="L267" s="25" t="n"/>
      <c r="M267" s="25" t="n"/>
      <c r="N267" s="25" t="n"/>
    </row>
    <row r="268" ht="16.5" customHeight="1" s="56">
      <c r="A268" s="58" t="n">
        <v>45702</v>
      </c>
      <c r="B268" s="31" t="n">
        <v>23198.39</v>
      </c>
      <c r="C268" s="31" t="n">
        <v>23276.24</v>
      </c>
      <c r="D268" s="31" t="n">
        <v>23142.95</v>
      </c>
      <c r="E268" s="31" t="n">
        <v>23152.61</v>
      </c>
      <c r="F268" s="31" t="n">
        <v>-246.8</v>
      </c>
      <c r="G268" s="33" t="n">
        <v>23200.225</v>
      </c>
      <c r="H268" s="24">
        <f>E268-G268</f>
        <v/>
      </c>
      <c r="I268" s="34">
        <f>H268/1000</f>
        <v/>
      </c>
      <c r="J268" s="34">
        <f>AVERAGE(I267:I268)</f>
        <v/>
      </c>
      <c r="K268" s="25" t="inlineStr">
        <is>
          <t>賣訊出現，隔日開盤做空</t>
        </is>
      </c>
      <c r="L268" s="25" t="n"/>
      <c r="M268" s="25" t="n"/>
      <c r="N268" s="25" t="n"/>
    </row>
    <row r="269" ht="16.5" customHeight="1" s="56">
      <c r="A269" s="57" t="n">
        <v>45705</v>
      </c>
      <c r="B269" s="27" t="n">
        <v>23258.17</v>
      </c>
      <c r="C269" s="27" t="n">
        <v>23510.68</v>
      </c>
      <c r="D269" s="27" t="n">
        <v>23242.84</v>
      </c>
      <c r="E269" s="27" t="n">
        <v>23505.33</v>
      </c>
      <c r="F269" s="27" t="n">
        <v>352.72</v>
      </c>
      <c r="G269" s="33" t="n">
        <v>23200.225</v>
      </c>
      <c r="H269" s="24">
        <f>E269-G269</f>
        <v/>
      </c>
      <c r="I269" s="34">
        <f>H269/1000</f>
        <v/>
      </c>
      <c r="J269" s="34">
        <f>AVERAGE(I268:I269)</f>
        <v/>
      </c>
      <c r="K269" s="25" t="inlineStr">
        <is>
          <t>買訊出現，隔日開盤做多</t>
        </is>
      </c>
      <c r="L269" s="25" t="n"/>
      <c r="M269" s="25" t="n">
        <v>23258.17</v>
      </c>
      <c r="N269" s="25">
        <f>M269-L263</f>
        <v/>
      </c>
    </row>
    <row r="270" ht="16.5" customHeight="1" s="56">
      <c r="A270" s="58" t="n">
        <v>45706</v>
      </c>
      <c r="B270" s="32" t="n">
        <v>23550.5</v>
      </c>
      <c r="C270" s="32" t="n">
        <v>23666.11</v>
      </c>
      <c r="D270" s="31" t="n">
        <v>23454.09</v>
      </c>
      <c r="E270" s="32" t="n">
        <v>23666.11</v>
      </c>
      <c r="F270" s="32" t="n">
        <v>160.78</v>
      </c>
      <c r="G270" s="33" t="n">
        <v>23200.225</v>
      </c>
      <c r="H270" s="24">
        <f>E270-G270</f>
        <v/>
      </c>
      <c r="I270" s="34">
        <f>H270/1000</f>
        <v/>
      </c>
      <c r="J270" s="34">
        <f>AVERAGE(I269:I270)</f>
        <v/>
      </c>
      <c r="K270" s="25" t="n"/>
      <c r="L270" s="25" t="n">
        <v>23550.5</v>
      </c>
      <c r="M270" s="25" t="n"/>
      <c r="N270" s="25">
        <f>M269-L270</f>
        <v/>
      </c>
    </row>
    <row r="271" ht="16.5" customHeight="1" s="56">
      <c r="A271" s="57" t="n">
        <v>45707</v>
      </c>
      <c r="B271" s="28" t="n">
        <v>23589.44</v>
      </c>
      <c r="C271" s="27" t="n">
        <v>23683.46</v>
      </c>
      <c r="D271" s="28" t="n">
        <v>23550.99</v>
      </c>
      <c r="E271" s="28" t="n">
        <v>23604.08</v>
      </c>
      <c r="F271" s="28" t="n">
        <v>-62.03</v>
      </c>
      <c r="G271" s="33" t="n">
        <v>23200.225</v>
      </c>
      <c r="H271" s="24">
        <f>E271-G271</f>
        <v/>
      </c>
      <c r="I271" s="34">
        <f>H271/1000</f>
        <v/>
      </c>
      <c r="J271" s="34">
        <f>AVERAGE(I270:I271)</f>
        <v/>
      </c>
      <c r="K271" s="25" t="n"/>
      <c r="L271" s="25" t="n"/>
      <c r="M271" s="25" t="n"/>
      <c r="N271" s="25" t="n"/>
    </row>
    <row r="272" ht="16.5" customHeight="1" s="56">
      <c r="A272" s="58" t="n">
        <v>45708</v>
      </c>
      <c r="B272" s="31" t="n">
        <v>23530.97</v>
      </c>
      <c r="C272" s="31" t="n">
        <v>23576.71</v>
      </c>
      <c r="D272" s="31" t="n">
        <v>23400.75</v>
      </c>
      <c r="E272" s="31" t="n">
        <v>23487.46</v>
      </c>
      <c r="F272" s="31" t="n">
        <v>-116.62</v>
      </c>
      <c r="G272" s="33" t="n">
        <v>23200.225</v>
      </c>
      <c r="H272" s="24">
        <f>E272-G272</f>
        <v/>
      </c>
      <c r="I272" s="34">
        <f>H272/1000</f>
        <v/>
      </c>
      <c r="J272" s="34">
        <f>AVERAGE(I271:I272)</f>
        <v/>
      </c>
      <c r="K272" s="25" t="n"/>
      <c r="L272" s="25" t="n"/>
      <c r="M272" s="25" t="n"/>
      <c r="N272" s="25" t="n"/>
    </row>
    <row r="273" ht="16.5" customHeight="1" s="56">
      <c r="A273" s="57" t="n">
        <v>45709</v>
      </c>
      <c r="B273" s="27" t="n">
        <v>23526.13</v>
      </c>
      <c r="C273" s="27" t="n">
        <v>23732.58</v>
      </c>
      <c r="D273" s="27" t="n">
        <v>23488.42</v>
      </c>
      <c r="E273" s="27" t="n">
        <v>23730.25</v>
      </c>
      <c r="F273" s="27" t="n">
        <v>242.79</v>
      </c>
      <c r="G273" s="33" t="n">
        <v>23200.225</v>
      </c>
      <c r="H273" s="24">
        <f>E273-G273</f>
        <v/>
      </c>
      <c r="I273" s="34">
        <f>H273/1000</f>
        <v/>
      </c>
      <c r="J273" s="34">
        <f>AVERAGE(I272:I273)</f>
        <v/>
      </c>
      <c r="K273" s="25" t="n"/>
      <c r="L273" s="25" t="n"/>
      <c r="M273" s="25" t="n"/>
      <c r="N273" s="25" t="n"/>
    </row>
    <row r="274" ht="16.5" customHeight="1" s="56">
      <c r="A274" s="58" t="n">
        <v>45712</v>
      </c>
      <c r="B274" s="31" t="n">
        <v>23573.8</v>
      </c>
      <c r="C274" s="31" t="n">
        <v>23605.22</v>
      </c>
      <c r="D274" s="31" t="n">
        <v>23461.43</v>
      </c>
      <c r="E274" s="31" t="n">
        <v>23565.31</v>
      </c>
      <c r="F274" s="31" t="n">
        <v>-164.94</v>
      </c>
      <c r="G274" s="33" t="n">
        <v>23200.225</v>
      </c>
      <c r="H274" s="24">
        <f>E274-G274</f>
        <v/>
      </c>
      <c r="I274" s="34">
        <f>H274/1000</f>
        <v/>
      </c>
      <c r="J274" s="34">
        <f>AVERAGE(I273:I274)</f>
        <v/>
      </c>
      <c r="K274" s="25" t="n"/>
      <c r="L274" s="25" t="n"/>
      <c r="M274" s="25" t="n"/>
      <c r="N274" s="25" t="n"/>
    </row>
    <row r="275" ht="16.5" customHeight="1" s="56">
      <c r="A275" s="57" t="n">
        <v>45713</v>
      </c>
      <c r="B275" s="28" t="n">
        <v>23376.42</v>
      </c>
      <c r="C275" s="28" t="n">
        <v>23376.42</v>
      </c>
      <c r="D275" s="28" t="n">
        <v>23209.53</v>
      </c>
      <c r="E275" s="28" t="n">
        <v>23285.72</v>
      </c>
      <c r="F275" s="28" t="n">
        <v>-279.59</v>
      </c>
      <c r="G275" s="33" t="n">
        <v>23200.225</v>
      </c>
      <c r="H275" s="24">
        <f>E275-G275</f>
        <v/>
      </c>
      <c r="I275" s="34">
        <f>H275/1000</f>
        <v/>
      </c>
      <c r="J275" s="34">
        <f>AVERAGE(I274:I275)</f>
        <v/>
      </c>
      <c r="K275" s="25" t="n"/>
      <c r="L275" s="25" t="n"/>
      <c r="M275" s="25" t="n"/>
      <c r="N275" s="25" t="n"/>
    </row>
    <row r="276" ht="16.5" customHeight="1" s="56">
      <c r="A276" s="58" t="n">
        <v>45714</v>
      </c>
      <c r="B276" s="31" t="n">
        <v>23221.84</v>
      </c>
      <c r="C276" s="32" t="n">
        <v>23431.24</v>
      </c>
      <c r="D276" s="31" t="n">
        <v>23156.02</v>
      </c>
      <c r="E276" s="32" t="n">
        <v>23402.55</v>
      </c>
      <c r="F276" s="32" t="n">
        <v>116.83</v>
      </c>
      <c r="G276" s="33" t="n">
        <v>23200.225</v>
      </c>
      <c r="H276" s="24">
        <f>E276-G276</f>
        <v/>
      </c>
      <c r="I276" s="34">
        <f>H276/1000</f>
        <v/>
      </c>
      <c r="J276" s="34">
        <f>AVERAGE(I275:I276)</f>
        <v/>
      </c>
      <c r="K276" s="25" t="n"/>
      <c r="L276" s="25" t="n"/>
      <c r="M276" s="25" t="n"/>
      <c r="N276" s="25" t="n"/>
    </row>
    <row r="277" ht="16.5" customHeight="1" s="56">
      <c r="A277" s="57" t="n">
        <v>45715</v>
      </c>
      <c r="B277" s="27" t="n">
        <v>23446.46</v>
      </c>
      <c r="C277" s="27" t="n">
        <v>23487.73</v>
      </c>
      <c r="D277" s="28" t="n">
        <v>23053.18</v>
      </c>
      <c r="E277" s="28" t="n">
        <v>23053.18</v>
      </c>
      <c r="F277" s="28" t="n">
        <v>-349.37</v>
      </c>
      <c r="G277" s="33" t="n">
        <v>23200.225</v>
      </c>
      <c r="H277" s="24">
        <f>E277-G277</f>
        <v/>
      </c>
      <c r="I277" s="34">
        <f>H277/1000</f>
        <v/>
      </c>
      <c r="J277" s="34">
        <f>AVERAGE(I276:I277)</f>
        <v/>
      </c>
      <c r="K277" s="25" t="inlineStr">
        <is>
          <t>賣訊出現，隔日開盤做空</t>
        </is>
      </c>
      <c r="L277" s="25" t="n"/>
      <c r="M277" s="25" t="n"/>
      <c r="N277" s="25" t="n"/>
    </row>
    <row r="278" ht="16.5" customHeight="1" s="56">
      <c r="A278" s="58" t="n">
        <v>45719</v>
      </c>
      <c r="B278" s="31" t="n">
        <v>22734.05</v>
      </c>
      <c r="C278" s="31" t="n">
        <v>22775.02</v>
      </c>
      <c r="D278" s="31" t="n">
        <v>22611.1</v>
      </c>
      <c r="E278" s="31" t="n">
        <v>22756.25</v>
      </c>
      <c r="F278" s="31" t="n">
        <v>-296.93</v>
      </c>
      <c r="G278" s="29" t="n">
        <v>23201.085</v>
      </c>
      <c r="H278" s="24">
        <f>E278-G278</f>
        <v/>
      </c>
      <c r="I278" s="34">
        <f>H278/1000</f>
        <v/>
      </c>
      <c r="J278" s="34">
        <f>AVERAGE(I277:I278)</f>
        <v/>
      </c>
      <c r="K278" s="25" t="n"/>
      <c r="L278" s="25" t="n"/>
      <c r="M278" s="25" t="n">
        <v>22734.05</v>
      </c>
      <c r="N278" s="25">
        <f>M278-L270</f>
        <v/>
      </c>
    </row>
    <row r="279" ht="16.5" customHeight="1" s="56">
      <c r="A279" s="57" t="n">
        <v>45720</v>
      </c>
      <c r="B279" s="28" t="n">
        <v>22508.8</v>
      </c>
      <c r="C279" s="28" t="n">
        <v>22700.94</v>
      </c>
      <c r="D279" s="28" t="n">
        <v>22359.5</v>
      </c>
      <c r="E279" s="28" t="n">
        <v>22596.88</v>
      </c>
      <c r="F279" s="28" t="n">
        <v>-159.37</v>
      </c>
      <c r="G279" s="29" t="n">
        <v>23201.085</v>
      </c>
      <c r="H279" s="24">
        <f>E279-G279</f>
        <v/>
      </c>
      <c r="I279" s="34">
        <f>H279/1000</f>
        <v/>
      </c>
      <c r="J279" s="34">
        <f>AVERAGE(I278:I279)</f>
        <v/>
      </c>
      <c r="K279" s="25" t="n"/>
      <c r="L279" s="25" t="n"/>
      <c r="M279" s="25" t="n"/>
      <c r="N279" s="25" t="n"/>
    </row>
    <row r="280" ht="16.5" customHeight="1" s="56">
      <c r="A280" s="58" t="n">
        <v>45721</v>
      </c>
      <c r="B280" s="32" t="n">
        <v>22778.86</v>
      </c>
      <c r="C280" s="32" t="n">
        <v>22948.3</v>
      </c>
      <c r="D280" s="32" t="n">
        <v>22757.22</v>
      </c>
      <c r="E280" s="32" t="n">
        <v>22871.9</v>
      </c>
      <c r="F280" s="32" t="n">
        <v>275.02</v>
      </c>
      <c r="G280" s="29" t="n">
        <v>23201.085</v>
      </c>
      <c r="H280" s="24">
        <f>E280-G280</f>
        <v/>
      </c>
      <c r="I280" s="34">
        <f>H280/1000</f>
        <v/>
      </c>
      <c r="J280" s="34">
        <f>AVERAGE(I279:I280)</f>
        <v/>
      </c>
      <c r="K280" s="25" t="n"/>
      <c r="L280" s="25" t="n"/>
      <c r="M280" s="25" t="n"/>
      <c r="N280" s="25" t="n"/>
    </row>
    <row r="281" ht="16.5" customHeight="1" s="56">
      <c r="A281" s="57" t="n">
        <v>45722</v>
      </c>
      <c r="B281" s="27" t="n">
        <v>22930.11</v>
      </c>
      <c r="C281" s="27" t="n">
        <v>22979.97</v>
      </c>
      <c r="D281" s="28" t="n">
        <v>22715.43</v>
      </c>
      <c r="E281" s="28" t="n">
        <v>22715.43</v>
      </c>
      <c r="F281" s="28" t="n">
        <v>-156.47</v>
      </c>
      <c r="G281" s="29" t="n">
        <v>23201.085</v>
      </c>
      <c r="H281" s="24">
        <f>E281-G281</f>
        <v/>
      </c>
      <c r="I281" s="34">
        <f>H281/1000</f>
        <v/>
      </c>
      <c r="J281" s="34">
        <f>AVERAGE(I280:I281)</f>
        <v/>
      </c>
      <c r="K281" s="25" t="n"/>
      <c r="L281" s="25" t="n"/>
      <c r="M281" s="25" t="n"/>
      <c r="N281" s="25" t="n"/>
    </row>
    <row r="282" ht="16.5" customHeight="1" s="56">
      <c r="A282" s="58" t="n">
        <v>45723</v>
      </c>
      <c r="B282" s="31" t="n">
        <v>22696.23</v>
      </c>
      <c r="C282" s="32" t="n">
        <v>22747.11</v>
      </c>
      <c r="D282" s="31" t="n">
        <v>22542.08</v>
      </c>
      <c r="E282" s="31" t="n">
        <v>22576.07</v>
      </c>
      <c r="F282" s="31" t="n">
        <v>-139.36</v>
      </c>
      <c r="G282" s="29" t="n">
        <v>23201.085</v>
      </c>
      <c r="H282" s="24">
        <f>E282-G282</f>
        <v/>
      </c>
      <c r="I282" s="34">
        <f>H282/1000</f>
        <v/>
      </c>
      <c r="J282" s="34">
        <f>AVERAGE(I281:I282)</f>
        <v/>
      </c>
      <c r="K282" s="25" t="n"/>
      <c r="L282" s="25" t="n"/>
      <c r="M282" s="25" t="n"/>
      <c r="N282" s="25" t="n"/>
    </row>
    <row r="283" ht="16.5" customHeight="1" s="56">
      <c r="A283" s="57" t="n">
        <v>45726</v>
      </c>
      <c r="B283" s="28" t="n">
        <v>22548.98</v>
      </c>
      <c r="C283" s="27" t="n">
        <v>22641.25</v>
      </c>
      <c r="D283" s="28" t="n">
        <v>22407.57</v>
      </c>
      <c r="E283" s="28" t="n">
        <v>22459.15</v>
      </c>
      <c r="F283" s="28" t="n">
        <v>-116.92</v>
      </c>
      <c r="G283" s="29" t="n">
        <v>23201.085</v>
      </c>
      <c r="H283" s="24">
        <f>E283-G283</f>
        <v/>
      </c>
      <c r="I283" s="34">
        <f>H283/1000</f>
        <v/>
      </c>
      <c r="J283" s="34">
        <f>AVERAGE(I282:I283)</f>
        <v/>
      </c>
      <c r="K283" s="25" t="n"/>
      <c r="L283" s="25" t="n"/>
      <c r="M283" s="25" t="n"/>
      <c r="N283" s="25" t="n"/>
    </row>
    <row r="284" ht="16.5" customHeight="1" s="56">
      <c r="A284" s="58" t="n">
        <v>45727</v>
      </c>
      <c r="B284" s="31" t="n">
        <v>22126.06</v>
      </c>
      <c r="C284" s="31" t="n">
        <v>22140.39</v>
      </c>
      <c r="D284" s="31" t="n">
        <v>21769.57</v>
      </c>
      <c r="E284" s="31" t="n">
        <v>22071.09</v>
      </c>
      <c r="F284" s="31" t="n">
        <v>-388.06</v>
      </c>
      <c r="G284" s="29" t="n">
        <v>23201.085</v>
      </c>
      <c r="H284" s="24">
        <f>E284-G284</f>
        <v/>
      </c>
      <c r="I284" s="34">
        <f>H284/1000</f>
        <v/>
      </c>
      <c r="J284" s="34">
        <f>AVERAGE(I283:I284)</f>
        <v/>
      </c>
      <c r="K284" s="25" t="n"/>
      <c r="L284" s="25" t="n"/>
      <c r="M284" s="25" t="n"/>
      <c r="N284" s="25" t="n"/>
    </row>
    <row r="285" ht="16.5" customHeight="1" s="56">
      <c r="A285" s="57" t="n">
        <v>45728</v>
      </c>
      <c r="B285" s="27" t="n">
        <v>22171.1</v>
      </c>
      <c r="C285" s="27" t="n">
        <v>22391.47</v>
      </c>
      <c r="D285" s="27" t="n">
        <v>22153.61</v>
      </c>
      <c r="E285" s="27" t="n">
        <v>22278.36</v>
      </c>
      <c r="F285" s="27" t="n">
        <v>207.27</v>
      </c>
      <c r="G285" s="29" t="n">
        <v>23201.085</v>
      </c>
      <c r="H285" s="24">
        <f>E285-G285</f>
        <v/>
      </c>
      <c r="I285" s="34">
        <f>H285/1000</f>
        <v/>
      </c>
      <c r="J285" s="34">
        <f>AVERAGE(I284:I285)</f>
        <v/>
      </c>
      <c r="K285" s="25" t="n"/>
      <c r="L285" s="25" t="n"/>
      <c r="M285" s="25" t="n"/>
      <c r="N285" s="25" t="n"/>
    </row>
    <row r="286" ht="16.5" customHeight="1" s="56">
      <c r="A286" s="58" t="n">
        <v>45729</v>
      </c>
      <c r="B286" s="32" t="n">
        <v>22403.34</v>
      </c>
      <c r="C286" s="32" t="n">
        <v>22552.43</v>
      </c>
      <c r="D286" s="31" t="n">
        <v>21961.68</v>
      </c>
      <c r="E286" s="31" t="n">
        <v>21961.68</v>
      </c>
      <c r="F286" s="31" t="n">
        <v>-316.68</v>
      </c>
      <c r="G286" s="29" t="n">
        <v>23201.085</v>
      </c>
      <c r="H286" s="24">
        <f>E286-G286</f>
        <v/>
      </c>
      <c r="I286" s="34">
        <f>H286/1000</f>
        <v/>
      </c>
      <c r="J286" s="34">
        <f>AVERAGE(I285:I286)</f>
        <v/>
      </c>
      <c r="K286" s="25" t="n"/>
      <c r="L286" s="25" t="n"/>
      <c r="M286" s="25" t="n"/>
      <c r="N286" s="25" t="n"/>
    </row>
    <row r="287" ht="16.5" customHeight="1" s="56">
      <c r="A287" s="57" t="n">
        <v>45730</v>
      </c>
      <c r="B287" s="27" t="n">
        <v>21986.81</v>
      </c>
      <c r="C287" s="27" t="n">
        <v>22074.03</v>
      </c>
      <c r="D287" s="28" t="n">
        <v>21895.9</v>
      </c>
      <c r="E287" s="27" t="n">
        <v>21968.05</v>
      </c>
      <c r="F287" s="27" t="n">
        <v>6.37</v>
      </c>
      <c r="G287" s="29" t="n">
        <v>23201.085</v>
      </c>
      <c r="H287" s="24">
        <f>E287-G287</f>
        <v/>
      </c>
      <c r="I287" s="34">
        <f>H287/1000</f>
        <v/>
      </c>
      <c r="J287" s="34">
        <f>AVERAGE(I286:I287)</f>
        <v/>
      </c>
      <c r="K287" s="25" t="n"/>
      <c r="L287" s="25" t="n"/>
      <c r="M287" s="25" t="n"/>
      <c r="N287" s="25" t="n"/>
    </row>
    <row r="288" ht="16.5" customHeight="1" s="56">
      <c r="A288" s="58" t="n">
        <v>45733</v>
      </c>
      <c r="B288" s="32" t="n">
        <v>22137.53</v>
      </c>
      <c r="C288" s="32" t="n">
        <v>22306.83</v>
      </c>
      <c r="D288" s="32" t="n">
        <v>22110.08</v>
      </c>
      <c r="E288" s="32" t="n">
        <v>22118.63</v>
      </c>
      <c r="F288" s="32" t="n">
        <v>150.58</v>
      </c>
      <c r="G288" s="29" t="n">
        <v>23201.085</v>
      </c>
      <c r="H288" s="24">
        <f>E288-G288</f>
        <v/>
      </c>
      <c r="I288" s="34">
        <f>H288/1000</f>
        <v/>
      </c>
      <c r="J288" s="34">
        <f>AVERAGE(I287:I288)</f>
        <v/>
      </c>
      <c r="K288" s="25" t="n"/>
      <c r="L288" s="25" t="n"/>
      <c r="M288" s="25" t="n"/>
      <c r="N288" s="25" t="n"/>
    </row>
    <row r="289" ht="16.5" customHeight="1" s="56">
      <c r="A289" s="57" t="n">
        <v>45734</v>
      </c>
      <c r="B289" s="27" t="n">
        <v>22204.62</v>
      </c>
      <c r="C289" s="27" t="n">
        <v>22327.1</v>
      </c>
      <c r="D289" s="27" t="n">
        <v>22186.42</v>
      </c>
      <c r="E289" s="27" t="n">
        <v>22271.67</v>
      </c>
      <c r="F289" s="27" t="n">
        <v>153.04</v>
      </c>
      <c r="G289" s="29" t="n">
        <v>23201.085</v>
      </c>
      <c r="H289" s="24">
        <f>E289-G289</f>
        <v/>
      </c>
      <c r="I289" s="34">
        <f>H289/1000</f>
        <v/>
      </c>
      <c r="J289" s="34">
        <f>AVERAGE(I288:I289)</f>
        <v/>
      </c>
      <c r="K289" s="25" t="n"/>
      <c r="L289" s="25" t="n"/>
      <c r="M289" s="25" t="n"/>
      <c r="N289" s="25" t="n"/>
    </row>
    <row r="290" ht="16.5" customHeight="1" s="56">
      <c r="A290" s="58" t="n">
        <v>45735</v>
      </c>
      <c r="B290" s="31" t="n">
        <v>22245.42</v>
      </c>
      <c r="C290" s="31" t="n">
        <v>22247.66</v>
      </c>
      <c r="D290" s="31" t="n">
        <v>21942.69</v>
      </c>
      <c r="E290" s="31" t="n">
        <v>21960.83</v>
      </c>
      <c r="F290" s="31" t="n">
        <v>-310.84</v>
      </c>
      <c r="G290" s="29" t="n">
        <v>23201.085</v>
      </c>
      <c r="H290" s="24">
        <f>E290-G290</f>
        <v/>
      </c>
      <c r="I290" s="34">
        <f>H290/1000</f>
        <v/>
      </c>
      <c r="J290" s="34">
        <f>AVERAGE(I289:I290)</f>
        <v/>
      </c>
      <c r="K290" s="25" t="n"/>
      <c r="L290" s="25" t="n"/>
      <c r="M290" s="25" t="n"/>
      <c r="N290" s="25" t="n"/>
    </row>
    <row r="291" ht="16.5" customHeight="1" s="56">
      <c r="A291" s="57" t="n">
        <v>45736</v>
      </c>
      <c r="B291" s="27" t="n">
        <v>22171</v>
      </c>
      <c r="C291" s="27" t="n">
        <v>22377.26</v>
      </c>
      <c r="D291" s="27" t="n">
        <v>22171</v>
      </c>
      <c r="E291" s="27" t="n">
        <v>22377.26</v>
      </c>
      <c r="F291" s="27" t="n">
        <v>416.43</v>
      </c>
      <c r="G291" s="29" t="n">
        <v>23201.085</v>
      </c>
      <c r="H291" s="24">
        <f>E291-G291</f>
        <v/>
      </c>
      <c r="I291" s="34">
        <f>H291/1000</f>
        <v/>
      </c>
      <c r="J291" s="34">
        <f>AVERAGE(I290:I291)</f>
        <v/>
      </c>
      <c r="K291" s="25" t="n"/>
      <c r="L291" s="25" t="n"/>
      <c r="M291" s="25" t="n"/>
      <c r="N291" s="25" t="n"/>
    </row>
    <row r="292" ht="16.5" customHeight="1" s="56">
      <c r="A292" s="58" t="n">
        <v>45737</v>
      </c>
      <c r="B292" s="31" t="n">
        <v>22362.38</v>
      </c>
      <c r="C292" s="31" t="n">
        <v>22366.95</v>
      </c>
      <c r="D292" s="31" t="n">
        <v>22200.23</v>
      </c>
      <c r="E292" s="31" t="n">
        <v>22209.1</v>
      </c>
      <c r="F292" s="31" t="n">
        <v>-168.16</v>
      </c>
      <c r="G292" s="29" t="n">
        <v>23201.085</v>
      </c>
      <c r="H292" s="24">
        <f>E292-G292</f>
        <v/>
      </c>
      <c r="I292" s="34">
        <f>H292/1000</f>
        <v/>
      </c>
      <c r="J292" s="34">
        <f>AVERAGE(I291:I292)</f>
        <v/>
      </c>
      <c r="K292" s="25" t="n"/>
      <c r="L292" s="25" t="n"/>
      <c r="M292" s="25" t="n"/>
      <c r="N292" s="25" t="n"/>
    </row>
    <row r="293" ht="16.5" customHeight="1" s="56">
      <c r="A293" s="57" t="n">
        <v>45740</v>
      </c>
      <c r="B293" s="27" t="n">
        <v>22348.38</v>
      </c>
      <c r="C293" s="27" t="n">
        <v>22380.73</v>
      </c>
      <c r="D293" s="28" t="n">
        <v>22106.64</v>
      </c>
      <c r="E293" s="28" t="n">
        <v>22106.64</v>
      </c>
      <c r="F293" s="28" t="n">
        <v>-102.46</v>
      </c>
      <c r="G293" s="29" t="n">
        <v>23201.085</v>
      </c>
      <c r="H293" s="24">
        <f>E293-G293</f>
        <v/>
      </c>
      <c r="I293" s="34">
        <f>H293/1000</f>
        <v/>
      </c>
      <c r="J293" s="34">
        <f>AVERAGE(I292:I293)</f>
        <v/>
      </c>
      <c r="K293" s="25" t="n"/>
      <c r="L293" s="25" t="n"/>
      <c r="M293" s="25" t="n"/>
      <c r="N293" s="25" t="n"/>
    </row>
    <row r="294" ht="16.5" customHeight="1" s="56">
      <c r="A294" s="58" t="n">
        <v>45741</v>
      </c>
      <c r="B294" s="32" t="n">
        <v>22269.37</v>
      </c>
      <c r="C294" s="32" t="n">
        <v>22414.02</v>
      </c>
      <c r="D294" s="32" t="n">
        <v>22228.68</v>
      </c>
      <c r="E294" s="32" t="n">
        <v>22273.19</v>
      </c>
      <c r="F294" s="32" t="n">
        <v>166.55</v>
      </c>
      <c r="G294" s="29" t="n">
        <v>23201.085</v>
      </c>
      <c r="H294" s="24">
        <f>E294-G294</f>
        <v/>
      </c>
      <c r="I294" s="34">
        <f>H294/1000</f>
        <v/>
      </c>
      <c r="J294" s="34">
        <f>AVERAGE(I293:I294)</f>
        <v/>
      </c>
      <c r="K294" s="25" t="n"/>
      <c r="L294" s="25" t="n"/>
      <c r="M294" s="25" t="n"/>
      <c r="N294" s="25" t="n"/>
    </row>
    <row r="295" ht="16.5" customHeight="1" s="56">
      <c r="A295" s="57" t="n">
        <v>45742</v>
      </c>
      <c r="B295" s="27" t="n">
        <v>22327.61</v>
      </c>
      <c r="C295" s="27" t="n">
        <v>22398.12</v>
      </c>
      <c r="D295" s="28" t="n">
        <v>22235.89</v>
      </c>
      <c r="E295" s="28" t="n">
        <v>22260.29</v>
      </c>
      <c r="F295" s="28" t="n">
        <v>-12.9</v>
      </c>
      <c r="G295" s="29" t="n">
        <v>23201.085</v>
      </c>
      <c r="H295" s="24">
        <f>E295-G295</f>
        <v/>
      </c>
      <c r="I295" s="34">
        <f>H295/1000</f>
        <v/>
      </c>
      <c r="J295" s="34">
        <f>AVERAGE(I294:I295)</f>
        <v/>
      </c>
      <c r="K295" s="25" t="n"/>
      <c r="L295" s="25" t="n"/>
      <c r="M295" s="25" t="n"/>
      <c r="N295" s="25" t="n"/>
    </row>
    <row r="296" ht="16.5" customHeight="1" s="56">
      <c r="A296" s="58" t="n">
        <v>45743</v>
      </c>
      <c r="B296" s="31" t="n">
        <v>22093.2</v>
      </c>
      <c r="C296" s="31" t="n">
        <v>22093.2</v>
      </c>
      <c r="D296" s="31" t="n">
        <v>21919.4</v>
      </c>
      <c r="E296" s="31" t="n">
        <v>21951.76</v>
      </c>
      <c r="F296" s="31" t="n">
        <v>-308.53</v>
      </c>
      <c r="G296" s="29" t="n">
        <v>23201.085</v>
      </c>
      <c r="H296" s="24">
        <f>E296-G296</f>
        <v/>
      </c>
      <c r="I296" s="34">
        <f>H296/1000</f>
        <v/>
      </c>
      <c r="J296" s="34">
        <f>AVERAGE(I295:I296)</f>
        <v/>
      </c>
      <c r="K296" s="25" t="n"/>
      <c r="L296" s="25" t="n"/>
      <c r="M296" s="25" t="n"/>
      <c r="N296" s="25" t="n"/>
    </row>
    <row r="297" ht="16.5" customHeight="1" s="56">
      <c r="A297" s="57" t="n">
        <v>45744</v>
      </c>
      <c r="B297" s="28" t="n">
        <v>21836.16</v>
      </c>
      <c r="C297" s="28" t="n">
        <v>21836.16</v>
      </c>
      <c r="D297" s="28" t="n">
        <v>21525.05</v>
      </c>
      <c r="E297" s="28" t="n">
        <v>21602.89</v>
      </c>
      <c r="F297" s="28" t="n">
        <v>-348.87</v>
      </c>
      <c r="G297" s="29" t="n">
        <v>23201.085</v>
      </c>
      <c r="H297" s="24">
        <f>E297-G297</f>
        <v/>
      </c>
      <c r="I297" s="34">
        <f>H297/1000</f>
        <v/>
      </c>
      <c r="J297" s="34">
        <f>AVERAGE(I296:I297)</f>
        <v/>
      </c>
      <c r="K297" s="25" t="n"/>
      <c r="L297" s="25" t="n"/>
      <c r="M297" s="25" t="n"/>
      <c r="N297" s="25" t="n"/>
    </row>
    <row r="298" ht="16.5" customHeight="1" s="56">
      <c r="A298" s="58" t="n">
        <v>45747</v>
      </c>
      <c r="B298" s="31" t="n">
        <v>21254.63</v>
      </c>
      <c r="C298" s="31" t="n">
        <v>21254.63</v>
      </c>
      <c r="D298" s="31" t="n">
        <v>20695.9</v>
      </c>
      <c r="E298" s="31" t="n">
        <v>20695.9</v>
      </c>
      <c r="F298" s="31" t="n">
        <v>-906.99</v>
      </c>
      <c r="G298" s="29" t="n">
        <v>23201.085</v>
      </c>
      <c r="H298" s="24">
        <f>E298-G298</f>
        <v/>
      </c>
      <c r="I298" s="34">
        <f>H298/1000</f>
        <v/>
      </c>
      <c r="J298" s="34">
        <f>AVERAGE(I297:I298)</f>
        <v/>
      </c>
      <c r="K298" s="25" t="n"/>
      <c r="L298" s="25" t="n"/>
      <c r="M298" s="25" t="n"/>
      <c r="N298" s="25" t="n"/>
    </row>
    <row r="299" ht="16.5" customHeight="1" s="56">
      <c r="A299" s="57" t="n">
        <v>45748</v>
      </c>
      <c r="B299" s="27" t="n">
        <v>20884.53</v>
      </c>
      <c r="C299" s="27" t="n">
        <v>21315.52</v>
      </c>
      <c r="D299" s="27" t="n">
        <v>20884.53</v>
      </c>
      <c r="E299" s="27" t="n">
        <v>21280.17</v>
      </c>
      <c r="F299" s="27" t="n">
        <v>584.27</v>
      </c>
      <c r="G299" s="33" t="n">
        <v>22214.24</v>
      </c>
      <c r="H299" s="24">
        <f>E299-G299</f>
        <v/>
      </c>
      <c r="I299" s="34">
        <f>H299/1000</f>
        <v/>
      </c>
      <c r="J299" s="34">
        <f>AVERAGE(I298:I299)</f>
        <v/>
      </c>
      <c r="K299" s="25" t="n"/>
      <c r="L299" s="25" t="n"/>
      <c r="M299" s="25" t="n"/>
      <c r="N299" s="25" t="n"/>
    </row>
    <row r="300" ht="16.5" customHeight="1" s="56">
      <c r="A300" s="58" t="n">
        <v>45749</v>
      </c>
      <c r="B300" s="32" t="n">
        <v>21313.77</v>
      </c>
      <c r="C300" s="32" t="n">
        <v>21390.52</v>
      </c>
      <c r="D300" s="31" t="n">
        <v>21235.99</v>
      </c>
      <c r="E300" s="32" t="n">
        <v>21298.22</v>
      </c>
      <c r="F300" s="32" t="n">
        <v>18.05</v>
      </c>
      <c r="G300" s="33" t="n">
        <v>22214.24</v>
      </c>
      <c r="H300" s="24">
        <f>E300-G300</f>
        <v/>
      </c>
      <c r="I300" s="34">
        <f>H300/1000</f>
        <v/>
      </c>
      <c r="J300" s="34">
        <f>AVERAGE(I299:I300)</f>
        <v/>
      </c>
      <c r="K300" s="25" t="n"/>
      <c r="L300" s="25" t="n"/>
      <c r="M300" s="25" t="n"/>
      <c r="N300" s="25" t="n"/>
    </row>
    <row r="301" ht="16.5" customHeight="1" s="56">
      <c r="A301" s="57" t="n">
        <v>45754</v>
      </c>
      <c r="B301" s="28" t="n">
        <v>20153.57</v>
      </c>
      <c r="C301" s="28" t="n">
        <v>20153.57</v>
      </c>
      <c r="D301" s="28" t="n">
        <v>19212.02</v>
      </c>
      <c r="E301" s="28" t="n">
        <v>19232.35</v>
      </c>
      <c r="F301" s="28" t="n">
        <v>-2065.87</v>
      </c>
      <c r="G301" s="33" t="n">
        <v>22214.24</v>
      </c>
      <c r="H301" s="24">
        <f>E301-G301</f>
        <v/>
      </c>
      <c r="I301" s="34">
        <f>H301/1000</f>
        <v/>
      </c>
      <c r="J301" s="34">
        <f>AVERAGE(I300:I301)</f>
        <v/>
      </c>
      <c r="K301" s="25" t="n"/>
      <c r="L301" s="25" t="n"/>
      <c r="M301" s="25" t="n"/>
      <c r="N301" s="25" t="n"/>
    </row>
    <row r="302" ht="16.5" customHeight="1" s="56">
      <c r="A302" s="58" t="n">
        <v>45755</v>
      </c>
      <c r="B302" s="31" t="n">
        <v>19064.47</v>
      </c>
      <c r="C302" s="31" t="n">
        <v>19064.47</v>
      </c>
      <c r="D302" s="31" t="n">
        <v>18180.48</v>
      </c>
      <c r="E302" s="31" t="n">
        <v>18459.95</v>
      </c>
      <c r="F302" s="31" t="n">
        <v>-772.4</v>
      </c>
      <c r="G302" s="33" t="n">
        <v>22214.24</v>
      </c>
      <c r="H302" s="24">
        <f>E302-G302</f>
        <v/>
      </c>
      <c r="I302" s="34">
        <f>H302/1000</f>
        <v/>
      </c>
      <c r="J302" s="34">
        <f>AVERAGE(I301:I302)</f>
        <v/>
      </c>
      <c r="K302" s="25" t="n"/>
      <c r="L302" s="25" t="n"/>
      <c r="M302" s="25" t="n"/>
      <c r="N302" s="25" t="n"/>
    </row>
    <row r="303" ht="16.5" customHeight="1" s="56">
      <c r="A303" s="57" t="n">
        <v>45756</v>
      </c>
      <c r="B303" s="28" t="n">
        <v>18337.44</v>
      </c>
      <c r="C303" s="28" t="n">
        <v>18371.52</v>
      </c>
      <c r="D303" s="28" t="n">
        <v>17306.97</v>
      </c>
      <c r="E303" s="28" t="n">
        <v>17391.76</v>
      </c>
      <c r="F303" s="28" t="n">
        <v>-1068.19</v>
      </c>
      <c r="G303" s="33" t="n">
        <v>22214.24</v>
      </c>
      <c r="H303" s="24">
        <f>E303-G303</f>
        <v/>
      </c>
      <c r="I303" s="34">
        <f>H303/1000</f>
        <v/>
      </c>
      <c r="J303" s="34">
        <f>AVERAGE(I302:I303)</f>
        <v/>
      </c>
      <c r="K303" s="25" t="n"/>
      <c r="L303" s="25" t="n"/>
      <c r="M303" s="25" t="n"/>
      <c r="N303" s="25" t="n"/>
    </row>
    <row r="304" ht="16.5" customHeight="1" s="56">
      <c r="A304" s="58" t="n">
        <v>45757</v>
      </c>
      <c r="B304" s="32" t="n">
        <v>18256.47</v>
      </c>
      <c r="C304" s="32" t="n">
        <v>19024.47</v>
      </c>
      <c r="D304" s="32" t="n">
        <v>18256.47</v>
      </c>
      <c r="E304" s="32" t="n">
        <v>19000.03</v>
      </c>
      <c r="F304" s="32" t="n">
        <v>1608.27</v>
      </c>
      <c r="G304" s="33" t="n">
        <v>22214.24</v>
      </c>
      <c r="H304" s="24">
        <f>E304-G304</f>
        <v/>
      </c>
      <c r="I304" s="34">
        <f>H304/1000</f>
        <v/>
      </c>
      <c r="J304" s="34">
        <f>AVERAGE(I303:I304)</f>
        <v/>
      </c>
      <c r="K304" s="25" t="n"/>
      <c r="L304" s="25" t="n"/>
      <c r="M304" s="25" t="n"/>
      <c r="N304" s="25" t="n"/>
    </row>
    <row r="305" ht="16.5" customHeight="1" s="56">
      <c r="A305" s="57" t="n">
        <v>45758</v>
      </c>
      <c r="B305" s="28" t="n">
        <v>18772.5</v>
      </c>
      <c r="C305" s="27" t="n">
        <v>19528.77</v>
      </c>
      <c r="D305" s="28" t="n">
        <v>18418.2</v>
      </c>
      <c r="E305" s="27" t="n">
        <v>19528.77</v>
      </c>
      <c r="F305" s="27" t="n">
        <v>528.74</v>
      </c>
      <c r="G305" s="33" t="n">
        <v>22214.24</v>
      </c>
      <c r="H305" s="24">
        <f>E305-G305</f>
        <v/>
      </c>
      <c r="I305" s="34">
        <f>H305/1000</f>
        <v/>
      </c>
      <c r="J305" s="34">
        <f>AVERAGE(I304:I305)</f>
        <v/>
      </c>
      <c r="K305" s="25" t="n"/>
      <c r="L305" s="25" t="n"/>
      <c r="M305" s="25" t="n"/>
      <c r="N305" s="25" t="n"/>
    </row>
    <row r="306" ht="16.5" customHeight="1" s="56">
      <c r="A306" s="58" t="n">
        <v>45761</v>
      </c>
      <c r="B306" s="32" t="n">
        <v>19686.68</v>
      </c>
      <c r="C306" s="32" t="n">
        <v>20023.63</v>
      </c>
      <c r="D306" s="31" t="n">
        <v>19508.93</v>
      </c>
      <c r="E306" s="31" t="n">
        <v>19513.09</v>
      </c>
      <c r="F306" s="31" t="n">
        <v>-15.68</v>
      </c>
      <c r="G306" s="33" t="n">
        <v>22214.24</v>
      </c>
      <c r="H306" s="24">
        <f>E306-G306</f>
        <v/>
      </c>
      <c r="I306" s="34">
        <f>H306/1000</f>
        <v/>
      </c>
      <c r="J306" s="34">
        <f>AVERAGE(I305:I306)</f>
        <v/>
      </c>
      <c r="K306" s="25" t="n"/>
      <c r="L306" s="25" t="n"/>
      <c r="M306" s="25" t="n"/>
      <c r="N306" s="25" t="n"/>
    </row>
    <row r="307" ht="16.5" customHeight="1" s="56">
      <c r="A307" s="57" t="n">
        <v>45762</v>
      </c>
      <c r="B307" s="27" t="n">
        <v>19609.9</v>
      </c>
      <c r="C307" s="27" t="n">
        <v>19895.43</v>
      </c>
      <c r="D307" s="27" t="n">
        <v>19576.15</v>
      </c>
      <c r="E307" s="27" t="n">
        <v>19857.67</v>
      </c>
      <c r="F307" s="27" t="n">
        <v>344.58</v>
      </c>
      <c r="G307" s="33" t="n">
        <v>22214.24</v>
      </c>
      <c r="H307" s="24">
        <f>E307-G307</f>
        <v/>
      </c>
      <c r="I307" s="34">
        <f>H307/1000</f>
        <v/>
      </c>
      <c r="J307" s="34">
        <f>AVERAGE(I306:I307)</f>
        <v/>
      </c>
      <c r="K307" s="25" t="n"/>
      <c r="L307" s="25" t="n"/>
      <c r="M307" s="25" t="n"/>
      <c r="N307" s="25" t="n"/>
    </row>
    <row r="308" ht="16.5" customHeight="1" s="56">
      <c r="A308" s="58" t="n">
        <v>45763</v>
      </c>
      <c r="B308" s="31" t="n">
        <v>19737.09</v>
      </c>
      <c r="C308" s="31" t="n">
        <v>19737.09</v>
      </c>
      <c r="D308" s="31" t="n">
        <v>19453.14</v>
      </c>
      <c r="E308" s="31" t="n">
        <v>19468</v>
      </c>
      <c r="F308" s="31" t="n">
        <v>-389.67</v>
      </c>
      <c r="G308" s="33" t="n">
        <v>22214.24</v>
      </c>
      <c r="H308" s="24">
        <f>E308-G308</f>
        <v/>
      </c>
      <c r="I308" s="34">
        <f>H308/1000</f>
        <v/>
      </c>
      <c r="J308" s="34">
        <f>AVERAGE(I307:I308)</f>
        <v/>
      </c>
      <c r="K308" s="25" t="n"/>
      <c r="L308" s="25" t="n"/>
      <c r="M308" s="25" t="n"/>
      <c r="N308" s="25" t="n"/>
    </row>
    <row r="309" ht="16.5" customHeight="1" s="56">
      <c r="A309" s="57" t="n">
        <v>45764</v>
      </c>
      <c r="B309" s="28" t="n">
        <v>19389.52</v>
      </c>
      <c r="C309" s="27" t="n">
        <v>19478</v>
      </c>
      <c r="D309" s="28" t="n">
        <v>19196.47</v>
      </c>
      <c r="E309" s="28" t="n">
        <v>19338.73</v>
      </c>
      <c r="F309" s="28" t="n">
        <v>-129.27</v>
      </c>
      <c r="G309" s="33" t="n">
        <v>22214.24</v>
      </c>
      <c r="H309" s="24">
        <f>E309-G309</f>
        <v/>
      </c>
      <c r="I309" s="34">
        <f>H309/1000</f>
        <v/>
      </c>
      <c r="J309" s="34">
        <f>AVERAGE(I308:I309)</f>
        <v/>
      </c>
      <c r="K309" s="25" t="n"/>
      <c r="L309" s="25" t="n"/>
      <c r="M309" s="25" t="n"/>
      <c r="N309" s="25" t="n"/>
    </row>
    <row r="310" ht="16.5" customHeight="1" s="56">
      <c r="A310" s="58" t="n">
        <v>45765</v>
      </c>
      <c r="B310" s="32" t="n">
        <v>19423.98</v>
      </c>
      <c r="C310" s="32" t="n">
        <v>19499.28</v>
      </c>
      <c r="D310" s="32" t="n">
        <v>19376.35</v>
      </c>
      <c r="E310" s="32" t="n">
        <v>19395.03</v>
      </c>
      <c r="F310" s="32" t="n">
        <v>56.3</v>
      </c>
      <c r="G310" s="33" t="n">
        <v>22214.24</v>
      </c>
      <c r="H310" s="24">
        <f>E310-G310</f>
        <v/>
      </c>
      <c r="I310" s="34">
        <f>H310/1000</f>
        <v/>
      </c>
      <c r="J310" s="34">
        <f>AVERAGE(I309:I310)</f>
        <v/>
      </c>
      <c r="K310" s="25" t="n"/>
      <c r="L310" s="25" t="n"/>
      <c r="M310" s="25" t="n"/>
      <c r="N310" s="25" t="n"/>
    </row>
    <row r="311" ht="16.5" customHeight="1" s="56">
      <c r="A311" s="57" t="n">
        <v>45768</v>
      </c>
      <c r="B311" s="28" t="n">
        <v>19321.14</v>
      </c>
      <c r="C311" s="28" t="n">
        <v>19359.96</v>
      </c>
      <c r="D311" s="28" t="n">
        <v>19080.6</v>
      </c>
      <c r="E311" s="28" t="n">
        <v>19106.2</v>
      </c>
      <c r="F311" s="28" t="n">
        <v>-288.83</v>
      </c>
      <c r="G311" s="33" t="n">
        <v>22214.24</v>
      </c>
      <c r="H311" s="24">
        <f>E311-G311</f>
        <v/>
      </c>
      <c r="I311" s="34">
        <f>H311/1000</f>
        <v/>
      </c>
      <c r="J311" s="34">
        <f>AVERAGE(I310:I311)</f>
        <v/>
      </c>
      <c r="K311" s="25" t="n"/>
      <c r="L311" s="25" t="n"/>
      <c r="M311" s="25" t="n"/>
      <c r="N311" s="25" t="n"/>
    </row>
    <row r="312" ht="16.5" customHeight="1" s="56">
      <c r="A312" s="58" t="n">
        <v>45769</v>
      </c>
      <c r="B312" s="31" t="n">
        <v>18990.86</v>
      </c>
      <c r="C312" s="31" t="n">
        <v>19059.65</v>
      </c>
      <c r="D312" s="31" t="n">
        <v>18793.43</v>
      </c>
      <c r="E312" s="31" t="n">
        <v>18793.43</v>
      </c>
      <c r="F312" s="31" t="n">
        <v>-312.77</v>
      </c>
      <c r="G312" s="33" t="n">
        <v>22214.24</v>
      </c>
      <c r="H312" s="24">
        <f>E312-G312</f>
        <v/>
      </c>
      <c r="I312" s="34">
        <f>H312/1000</f>
        <v/>
      </c>
      <c r="J312" s="34">
        <f>AVERAGE(I311:I312)</f>
        <v/>
      </c>
      <c r="K312" s="25" t="n"/>
      <c r="L312" s="25" t="n"/>
      <c r="M312" s="25" t="n"/>
      <c r="N312" s="25" t="n"/>
    </row>
    <row r="313" ht="16.5" customHeight="1" s="56">
      <c r="A313" s="57" t="n">
        <v>45770</v>
      </c>
      <c r="B313" s="27" t="n">
        <v>19163.61</v>
      </c>
      <c r="C313" s="27" t="n">
        <v>19639.14</v>
      </c>
      <c r="D313" s="27" t="n">
        <v>19163.61</v>
      </c>
      <c r="E313" s="27" t="n">
        <v>19639.14</v>
      </c>
      <c r="F313" s="27" t="n">
        <v>845.71</v>
      </c>
      <c r="G313" s="33" t="n">
        <v>22214.24</v>
      </c>
      <c r="H313" s="24">
        <f>E313-G313</f>
        <v/>
      </c>
      <c r="I313" s="34">
        <f>H313/1000</f>
        <v/>
      </c>
      <c r="J313" s="34">
        <f>AVERAGE(I312:I313)</f>
        <v/>
      </c>
      <c r="K313" s="25" t="n"/>
      <c r="L313" s="25" t="n"/>
      <c r="M313" s="25" t="n"/>
      <c r="N313" s="25" t="n"/>
    </row>
    <row r="314" ht="16.5" customHeight="1" s="56">
      <c r="A314" s="58" t="n">
        <v>45771</v>
      </c>
      <c r="B314" s="32" t="n">
        <v>19752.59</v>
      </c>
      <c r="C314" s="32" t="n">
        <v>19752.59</v>
      </c>
      <c r="D314" s="31" t="n">
        <v>19433.37</v>
      </c>
      <c r="E314" s="31" t="n">
        <v>19478.81</v>
      </c>
      <c r="F314" s="31" t="n">
        <v>-160.33</v>
      </c>
      <c r="G314" s="33" t="n">
        <v>22214.24</v>
      </c>
      <c r="H314" s="24">
        <f>E314-G314</f>
        <v/>
      </c>
      <c r="I314" s="34">
        <f>H314/1000</f>
        <v/>
      </c>
      <c r="J314" s="34">
        <f>AVERAGE(I313:I314)</f>
        <v/>
      </c>
      <c r="K314" s="25" t="n"/>
      <c r="L314" s="25" t="n"/>
      <c r="M314" s="25" t="n"/>
      <c r="N314" s="25" t="n"/>
    </row>
    <row r="315" ht="16.5" customHeight="1" s="56">
      <c r="A315" s="57" t="n">
        <v>45772</v>
      </c>
      <c r="B315" s="27" t="n">
        <v>19861.24</v>
      </c>
      <c r="C315" s="27" t="n">
        <v>20012.27</v>
      </c>
      <c r="D315" s="27" t="n">
        <v>19861.24</v>
      </c>
      <c r="E315" s="27" t="n">
        <v>19872.73</v>
      </c>
      <c r="F315" s="27" t="n">
        <v>393.92</v>
      </c>
      <c r="G315" s="33" t="n">
        <v>22214.24</v>
      </c>
      <c r="H315" s="24">
        <f>E315-G315</f>
        <v/>
      </c>
      <c r="I315" s="34">
        <f>H315/1000</f>
        <v/>
      </c>
      <c r="J315" s="34">
        <f>AVERAGE(I314:I315)</f>
        <v/>
      </c>
      <c r="K315" s="25" t="n"/>
      <c r="L315" s="25" t="n"/>
      <c r="M315" s="25" t="n"/>
      <c r="N315" s="25" t="n"/>
    </row>
    <row r="316" ht="16.5" customHeight="1" s="56">
      <c r="A316" s="58" t="n">
        <v>45775</v>
      </c>
      <c r="B316" s="32" t="n">
        <v>19972.07</v>
      </c>
      <c r="C316" s="32" t="n">
        <v>20073.75</v>
      </c>
      <c r="D316" s="32" t="n">
        <v>19972.07</v>
      </c>
      <c r="E316" s="32" t="n">
        <v>20034.41</v>
      </c>
      <c r="F316" s="32" t="n">
        <v>161.68</v>
      </c>
      <c r="G316" s="33" t="n">
        <v>22214.24</v>
      </c>
      <c r="H316" s="24">
        <f>E316-G316</f>
        <v/>
      </c>
      <c r="I316" s="34">
        <f>H316/1000</f>
        <v/>
      </c>
      <c r="J316" s="34">
        <f>AVERAGE(I315:I316)</f>
        <v/>
      </c>
      <c r="K316" s="25" t="n"/>
      <c r="L316" s="25" t="n"/>
      <c r="M316" s="25" t="n"/>
      <c r="N316" s="25" t="n"/>
    </row>
    <row r="317" ht="16.5" customHeight="1" s="56">
      <c r="A317" s="57" t="n">
        <v>45776</v>
      </c>
      <c r="B317" s="28" t="n">
        <v>20018.32</v>
      </c>
      <c r="C317" s="27" t="n">
        <v>20232.63</v>
      </c>
      <c r="D317" s="28" t="n">
        <v>20007.3</v>
      </c>
      <c r="E317" s="27" t="n">
        <v>20232.63</v>
      </c>
      <c r="F317" s="27" t="n">
        <v>198.22</v>
      </c>
      <c r="G317" s="33" t="n">
        <v>22214.24</v>
      </c>
      <c r="H317" s="24">
        <f>E317-G317</f>
        <v/>
      </c>
      <c r="I317" s="34">
        <f>H317/1000</f>
        <v/>
      </c>
      <c r="J317" s="34">
        <f>AVERAGE(I316:I317)</f>
        <v/>
      </c>
      <c r="K317" s="25" t="n"/>
      <c r="L317" s="25" t="n"/>
      <c r="M317" s="25" t="n"/>
      <c r="N317" s="25" t="n"/>
    </row>
    <row r="318" ht="16.5" customHeight="1" s="56">
      <c r="A318" s="58" t="n">
        <v>45777</v>
      </c>
      <c r="B318" s="31" t="n">
        <v>20215.39</v>
      </c>
      <c r="C318" s="32" t="n">
        <v>20331.89</v>
      </c>
      <c r="D318" s="31" t="n">
        <v>20185.31</v>
      </c>
      <c r="E318" s="32" t="n">
        <v>20235.03</v>
      </c>
      <c r="F318" s="32" t="n">
        <v>2.4</v>
      </c>
      <c r="G318" s="33" t="n">
        <v>22214.24</v>
      </c>
      <c r="H318" s="24">
        <f>E318-G318</f>
        <v/>
      </c>
      <c r="I318" s="34">
        <f>H318/1000</f>
        <v/>
      </c>
      <c r="J318" s="34">
        <f>AVERAGE(I317:I318)</f>
        <v/>
      </c>
      <c r="K318" s="25" t="n"/>
      <c r="L318" s="25" t="n"/>
      <c r="M318" s="25" t="n"/>
      <c r="N318" s="25" t="n"/>
    </row>
    <row r="319" ht="16.5" customHeight="1" s="56">
      <c r="A319" s="57" t="n">
        <v>45779</v>
      </c>
      <c r="B319" s="27" t="n">
        <v>20534.08</v>
      </c>
      <c r="C319" s="27" t="n">
        <v>20787.64</v>
      </c>
      <c r="D319" s="27" t="n">
        <v>20534.08</v>
      </c>
      <c r="E319" s="27" t="n">
        <v>20787.64</v>
      </c>
      <c r="F319" s="27" t="n">
        <v>552.61</v>
      </c>
      <c r="G319" s="29" t="n">
        <v>20143.47</v>
      </c>
      <c r="H319" s="24">
        <f>E319-G319</f>
        <v/>
      </c>
      <c r="I319" s="34">
        <f>H319/1000</f>
        <v/>
      </c>
      <c r="J319" s="34">
        <f>AVERAGE(I318:I319)</f>
        <v/>
      </c>
      <c r="K319" s="25" t="inlineStr">
        <is>
          <t>買訊出現，隔日開盤做多</t>
        </is>
      </c>
      <c r="L319" s="25" t="n"/>
      <c r="M319" s="25" t="n"/>
      <c r="N319" s="25" t="n"/>
    </row>
    <row r="320" ht="16.5" customHeight="1" s="56">
      <c r="A320" s="58" t="n">
        <v>45782</v>
      </c>
      <c r="B320" s="32" t="n">
        <v>20839.04</v>
      </c>
      <c r="C320" s="32" t="n">
        <v>20885.54</v>
      </c>
      <c r="D320" s="31" t="n">
        <v>20320.8</v>
      </c>
      <c r="E320" s="31" t="n">
        <v>20532.99</v>
      </c>
      <c r="F320" s="31" t="n">
        <v>-254.65</v>
      </c>
      <c r="G320" s="29" t="n">
        <v>20143.47</v>
      </c>
      <c r="H320" s="24">
        <f>E320-G320</f>
        <v/>
      </c>
      <c r="I320" s="34">
        <f>H320/1000</f>
        <v/>
      </c>
      <c r="J320" s="34">
        <f>AVERAGE(I319:I320)</f>
        <v/>
      </c>
      <c r="K320" s="25" t="n"/>
      <c r="L320" s="25" t="n">
        <v>20534.08</v>
      </c>
      <c r="M320" s="25" t="n"/>
      <c r="N320" s="25">
        <f>M278-L320</f>
        <v/>
      </c>
    </row>
    <row r="321" ht="16.5" customHeight="1" s="56">
      <c r="A321" s="57" t="n">
        <v>45783</v>
      </c>
      <c r="B321" s="28" t="n">
        <v>20353.88</v>
      </c>
      <c r="C321" s="27" t="n">
        <v>20623.85</v>
      </c>
      <c r="D321" s="28" t="n">
        <v>20349.56</v>
      </c>
      <c r="E321" s="28" t="n">
        <v>20522.59</v>
      </c>
      <c r="F321" s="28" t="n">
        <v>-10.4</v>
      </c>
      <c r="G321" s="29" t="n">
        <v>20143.47</v>
      </c>
      <c r="H321" s="24">
        <f>E321-G321</f>
        <v/>
      </c>
      <c r="I321" s="34">
        <f>H321/1000</f>
        <v/>
      </c>
      <c r="J321" s="34">
        <f>AVERAGE(I320:I321)</f>
        <v/>
      </c>
      <c r="K321" s="25" t="n"/>
      <c r="L321" s="25" t="n"/>
      <c r="M321" s="25" t="n"/>
      <c r="N321" s="25" t="n"/>
    </row>
    <row r="322" ht="16.5" customHeight="1" s="56">
      <c r="A322" s="58" t="n">
        <v>45784</v>
      </c>
      <c r="B322" s="32" t="n">
        <v>20575.15</v>
      </c>
      <c r="C322" s="32" t="n">
        <v>20685.28</v>
      </c>
      <c r="D322" s="31" t="n">
        <v>20418.03</v>
      </c>
      <c r="E322" s="32" t="n">
        <v>20546.49</v>
      </c>
      <c r="F322" s="32" t="n">
        <v>23.9</v>
      </c>
      <c r="G322" s="29" t="n">
        <v>20143.47</v>
      </c>
      <c r="H322" s="24">
        <f>E322-G322</f>
        <v/>
      </c>
      <c r="I322" s="34">
        <f>H322/1000</f>
        <v/>
      </c>
      <c r="J322" s="34">
        <f>AVERAGE(I321:I322)</f>
        <v/>
      </c>
      <c r="K322" s="25" t="n"/>
      <c r="L322" s="25" t="n"/>
      <c r="M322" s="25" t="n"/>
      <c r="N322" s="25" t="n"/>
    </row>
    <row r="323" ht="16.5" customHeight="1" s="56">
      <c r="A323" s="57" t="n">
        <v>45785</v>
      </c>
      <c r="B323" s="27" t="n">
        <v>20559.65</v>
      </c>
      <c r="C323" s="27" t="n">
        <v>20747.28</v>
      </c>
      <c r="D323" s="28" t="n">
        <v>20543.4</v>
      </c>
      <c r="E323" s="28" t="n">
        <v>20543.4</v>
      </c>
      <c r="F323" s="28" t="n">
        <v>-3.09</v>
      </c>
      <c r="G323" s="29" t="n">
        <v>20143.47</v>
      </c>
      <c r="H323" s="24">
        <f>E323-G323</f>
        <v/>
      </c>
      <c r="I323" s="34">
        <f>H323/1000</f>
        <v/>
      </c>
      <c r="J323" s="34">
        <f>AVERAGE(I322:I323)</f>
        <v/>
      </c>
      <c r="K323" s="25" t="n"/>
      <c r="L323" s="25" t="n"/>
      <c r="M323" s="25" t="n"/>
      <c r="N323" s="25" t="n"/>
    </row>
    <row r="324" ht="16.5" customHeight="1" s="56">
      <c r="A324" s="58" t="n">
        <v>45786</v>
      </c>
      <c r="B324" s="32" t="n">
        <v>20690.8</v>
      </c>
      <c r="C324" s="32" t="n">
        <v>20915.04</v>
      </c>
      <c r="D324" s="32" t="n">
        <v>20643.56</v>
      </c>
      <c r="E324" s="32" t="n">
        <v>20915.04</v>
      </c>
      <c r="F324" s="32" t="n">
        <v>371.64</v>
      </c>
      <c r="G324" s="29" t="n">
        <v>20143.47</v>
      </c>
      <c r="H324" s="24">
        <f>E324-G324</f>
        <v/>
      </c>
      <c r="I324" s="34">
        <f>H324/1000</f>
        <v/>
      </c>
      <c r="J324" s="34">
        <f>AVERAGE(I323:I324)</f>
        <v/>
      </c>
      <c r="K324" s="25" t="n"/>
      <c r="L324" s="25" t="n"/>
      <c r="M324" s="25" t="n"/>
      <c r="N324" s="25" t="n"/>
    </row>
    <row r="325" ht="16.5" customHeight="1" s="56">
      <c r="A325" s="57" t="n">
        <v>45789</v>
      </c>
      <c r="B325" s="27" t="n">
        <v>20996.95</v>
      </c>
      <c r="C325" s="27" t="n">
        <v>21176.13</v>
      </c>
      <c r="D325" s="27" t="n">
        <v>20996.95</v>
      </c>
      <c r="E325" s="27" t="n">
        <v>21129.54</v>
      </c>
      <c r="F325" s="27" t="n">
        <v>214.5</v>
      </c>
      <c r="G325" s="29" t="n">
        <v>20143.47</v>
      </c>
      <c r="H325" s="24">
        <f>E325-G325</f>
        <v/>
      </c>
      <c r="I325" s="34">
        <f>H325/1000</f>
        <v/>
      </c>
      <c r="J325" s="34">
        <f>AVERAGE(I324:I325)</f>
        <v/>
      </c>
      <c r="K325" s="25" t="n"/>
      <c r="L325" s="25" t="n"/>
      <c r="M325" s="25" t="n"/>
      <c r="N325" s="25" t="n"/>
    </row>
    <row r="326" ht="16.5" customHeight="1" s="56">
      <c r="A326" s="58" t="n">
        <v>45790</v>
      </c>
      <c r="B326" s="32" t="n">
        <v>21474.02</v>
      </c>
      <c r="C326" s="32" t="n">
        <v>21626.28</v>
      </c>
      <c r="D326" s="32" t="n">
        <v>21330.14</v>
      </c>
      <c r="E326" s="32" t="n">
        <v>21330.14</v>
      </c>
      <c r="F326" s="32" t="n">
        <v>200.6</v>
      </c>
      <c r="G326" s="29" t="n">
        <v>20143.47</v>
      </c>
      <c r="H326" s="24">
        <f>E326-G326</f>
        <v/>
      </c>
      <c r="I326" s="34">
        <f>H326/1000</f>
        <v/>
      </c>
      <c r="J326" s="34">
        <f>AVERAGE(I325:I326)</f>
        <v/>
      </c>
      <c r="K326" s="25" t="n"/>
      <c r="L326" s="25" t="n"/>
      <c r="M326" s="25" t="n"/>
      <c r="N326" s="25" t="n"/>
    </row>
    <row r="327" ht="16.5" customHeight="1" s="56">
      <c r="A327" s="57" t="n">
        <v>45791</v>
      </c>
      <c r="B327" s="27" t="n">
        <v>21552.42</v>
      </c>
      <c r="C327" s="27" t="n">
        <v>21782.87</v>
      </c>
      <c r="D327" s="27" t="n">
        <v>21552.42</v>
      </c>
      <c r="E327" s="27" t="n">
        <v>21782.87</v>
      </c>
      <c r="F327" s="27" t="n">
        <v>452.73</v>
      </c>
      <c r="G327" s="29" t="n">
        <v>20143.47</v>
      </c>
      <c r="H327" s="24">
        <f>E327-G327</f>
        <v/>
      </c>
      <c r="I327" s="34">
        <f>H327/1000</f>
        <v/>
      </c>
      <c r="J327" s="34">
        <f>AVERAGE(I326:I327)</f>
        <v/>
      </c>
      <c r="K327" s="25" t="n"/>
      <c r="L327" s="25" t="n"/>
      <c r="M327" s="25" t="n"/>
      <c r="N327" s="25" t="n"/>
    </row>
    <row r="328" ht="16.5" customHeight="1" s="56">
      <c r="A328" s="58" t="n">
        <v>45792</v>
      </c>
      <c r="B328" s="31" t="n">
        <v>21776.65</v>
      </c>
      <c r="C328" s="32" t="n">
        <v>21821.01</v>
      </c>
      <c r="D328" s="31" t="n">
        <v>21674.32</v>
      </c>
      <c r="E328" s="31" t="n">
        <v>21730.25</v>
      </c>
      <c r="F328" s="31" t="n">
        <v>-52.62</v>
      </c>
      <c r="G328" s="29" t="n">
        <v>20143.47</v>
      </c>
      <c r="H328" s="24">
        <f>E328-G328</f>
        <v/>
      </c>
      <c r="I328" s="34">
        <f>H328/1000</f>
        <v/>
      </c>
      <c r="J328" s="34">
        <f>AVERAGE(I327:I328)</f>
        <v/>
      </c>
      <c r="K328" s="25" t="n"/>
      <c r="L328" s="25" t="n"/>
      <c r="M328" s="25" t="n"/>
      <c r="N328" s="25" t="n"/>
    </row>
    <row r="329" ht="16.5" customHeight="1" s="56">
      <c r="A329" s="57" t="n">
        <v>45793</v>
      </c>
      <c r="B329" s="27" t="n">
        <v>21731.88</v>
      </c>
      <c r="C329" s="27" t="n">
        <v>21854.5</v>
      </c>
      <c r="D329" s="28" t="n">
        <v>21697.85</v>
      </c>
      <c r="E329" s="27" t="n">
        <v>21843.69</v>
      </c>
      <c r="F329" s="27" t="n">
        <v>113.44</v>
      </c>
      <c r="G329" s="29" t="n">
        <v>20143.47</v>
      </c>
      <c r="H329" s="24">
        <f>E329-G329</f>
        <v/>
      </c>
      <c r="I329" s="34">
        <f>H329/1000</f>
        <v/>
      </c>
      <c r="J329" s="34">
        <f>AVERAGE(I328:I329)</f>
        <v/>
      </c>
      <c r="K329" s="25" t="n"/>
      <c r="L329" s="25" t="n"/>
      <c r="M329" s="25" t="n"/>
      <c r="N329" s="25" t="n"/>
    </row>
    <row r="330" ht="16.5" customHeight="1" s="56">
      <c r="A330" s="58" t="n">
        <v>45796</v>
      </c>
      <c r="B330" s="31" t="n">
        <v>21786.33</v>
      </c>
      <c r="C330" s="31" t="n">
        <v>21786.33</v>
      </c>
      <c r="D330" s="31" t="n">
        <v>21496.69</v>
      </c>
      <c r="E330" s="31" t="n">
        <v>21523.83</v>
      </c>
      <c r="F330" s="31" t="n">
        <v>-319.86</v>
      </c>
      <c r="G330" s="29" t="n">
        <v>20143.47</v>
      </c>
      <c r="H330" s="24">
        <f>E330-G330</f>
        <v/>
      </c>
      <c r="I330" s="34">
        <f>H330/1000</f>
        <v/>
      </c>
      <c r="J330" s="34">
        <f>AVERAGE(I329:I330)</f>
        <v/>
      </c>
      <c r="K330" s="25" t="n"/>
      <c r="L330" s="25" t="n"/>
      <c r="M330" s="25" t="n"/>
      <c r="N330" s="25" t="n"/>
    </row>
    <row r="331" ht="16.5" customHeight="1" s="56">
      <c r="A331" s="57" t="n">
        <v>45797</v>
      </c>
      <c r="B331" s="27" t="n">
        <v>21631.61</v>
      </c>
      <c r="C331" s="27" t="n">
        <v>21746.56</v>
      </c>
      <c r="D331" s="28" t="n">
        <v>21517.1</v>
      </c>
      <c r="E331" s="27" t="n">
        <v>21526.03</v>
      </c>
      <c r="F331" s="27" t="n">
        <v>2.2</v>
      </c>
      <c r="G331" s="29" t="n">
        <v>20143.47</v>
      </c>
      <c r="H331" s="24">
        <f>E331-G331</f>
        <v/>
      </c>
      <c r="I331" s="34">
        <f>H331/1000</f>
        <v/>
      </c>
      <c r="J331" s="34">
        <f>AVERAGE(I330:I331)</f>
        <v/>
      </c>
      <c r="K331" s="25" t="n"/>
      <c r="L331" s="25" t="n"/>
      <c r="M331" s="25" t="n"/>
      <c r="N331" s="25" t="n"/>
    </row>
    <row r="332" ht="16.5" customHeight="1" s="56">
      <c r="A332" s="58" t="n">
        <v>45798</v>
      </c>
      <c r="B332" s="32" t="n">
        <v>21603.58</v>
      </c>
      <c r="C332" s="32" t="n">
        <v>21879.24</v>
      </c>
      <c r="D332" s="32" t="n">
        <v>21603.58</v>
      </c>
      <c r="E332" s="32" t="n">
        <v>21803.91</v>
      </c>
      <c r="F332" s="32" t="n">
        <v>277.88</v>
      </c>
      <c r="G332" s="29" t="n">
        <v>20143.47</v>
      </c>
      <c r="H332" s="24">
        <f>E332-G332</f>
        <v/>
      </c>
      <c r="I332" s="34">
        <f>H332/1000</f>
        <v/>
      </c>
      <c r="J332" s="34">
        <f>AVERAGE(I331:I332)</f>
        <v/>
      </c>
      <c r="K332" s="25" t="n"/>
      <c r="L332" s="25" t="n"/>
      <c r="M332" s="25" t="n"/>
      <c r="N332" s="25" t="n"/>
    </row>
    <row r="333" ht="16.5" customHeight="1" s="56">
      <c r="A333" s="57" t="n">
        <v>45799</v>
      </c>
      <c r="B333" s="28" t="n">
        <v>21733.82</v>
      </c>
      <c r="C333" s="28" t="n">
        <v>21733.82</v>
      </c>
      <c r="D333" s="28" t="n">
        <v>21585.31</v>
      </c>
      <c r="E333" s="28" t="n">
        <v>21670.96</v>
      </c>
      <c r="F333" s="28" t="n">
        <v>-132.95</v>
      </c>
      <c r="G333" s="29" t="n">
        <v>20143.47</v>
      </c>
      <c r="H333" s="24">
        <f>E333-G333</f>
        <v/>
      </c>
      <c r="I333" s="34">
        <f>H333/1000</f>
        <v/>
      </c>
      <c r="J333" s="34">
        <f>AVERAGE(I332:I333)</f>
        <v/>
      </c>
      <c r="K333" s="25" t="n"/>
      <c r="L333" s="25" t="n"/>
      <c r="M333" s="25" t="n"/>
      <c r="N333" s="25" t="n"/>
    </row>
    <row r="334" ht="16.5" customHeight="1" s="56">
      <c r="A334" s="58" t="n">
        <v>45800</v>
      </c>
      <c r="B334" s="32" t="n">
        <v>21766.24</v>
      </c>
      <c r="C334" s="32" t="n">
        <v>21798.88</v>
      </c>
      <c r="D334" s="31" t="n">
        <v>21559.78</v>
      </c>
      <c r="E334" s="31" t="n">
        <v>21652.24</v>
      </c>
      <c r="F334" s="31" t="n">
        <v>-18.72</v>
      </c>
      <c r="G334" s="29" t="n">
        <v>20143.47</v>
      </c>
      <c r="H334" s="24">
        <f>E334-G334</f>
        <v/>
      </c>
      <c r="I334" s="34">
        <f>H334/1000</f>
        <v/>
      </c>
      <c r="J334" s="34">
        <f>AVERAGE(I333:I334)</f>
        <v/>
      </c>
      <c r="K334" s="25" t="n"/>
      <c r="L334" s="25" t="n"/>
      <c r="M334" s="25" t="n"/>
      <c r="N334" s="25" t="n"/>
    </row>
    <row r="335" ht="16.5" customHeight="1" s="56">
      <c r="A335" s="57" t="n">
        <v>45803</v>
      </c>
      <c r="B335" s="28" t="n">
        <v>21577.64</v>
      </c>
      <c r="C335" s="27" t="n">
        <v>21688.45</v>
      </c>
      <c r="D335" s="28" t="n">
        <v>21536.57</v>
      </c>
      <c r="E335" s="28" t="n">
        <v>21536.57</v>
      </c>
      <c r="F335" s="28" t="n">
        <v>-115.67</v>
      </c>
      <c r="G335" s="29" t="n">
        <v>20143.47</v>
      </c>
      <c r="H335" s="24">
        <f>E335-G335</f>
        <v/>
      </c>
      <c r="I335" s="34">
        <f>H335/1000</f>
        <v/>
      </c>
      <c r="J335" s="34">
        <f>AVERAGE(I334:I335)</f>
        <v/>
      </c>
      <c r="K335" s="25" t="n"/>
      <c r="L335" s="25" t="n"/>
      <c r="M335" s="25" t="n"/>
      <c r="N335" s="25" t="n"/>
    </row>
    <row r="336" ht="16.5" customHeight="1" s="56">
      <c r="A336" s="58" t="n">
        <v>45804</v>
      </c>
      <c r="B336" s="31" t="n">
        <v>21491.65</v>
      </c>
      <c r="C336" s="32" t="n">
        <v>21558.47</v>
      </c>
      <c r="D336" s="31" t="n">
        <v>21310</v>
      </c>
      <c r="E336" s="31" t="n">
        <v>21336.54</v>
      </c>
      <c r="F336" s="31" t="n">
        <v>-200.03</v>
      </c>
      <c r="G336" s="29" t="n">
        <v>20143.47</v>
      </c>
      <c r="H336" s="24">
        <f>E336-G336</f>
        <v/>
      </c>
      <c r="I336" s="34">
        <f>H336/1000</f>
        <v/>
      </c>
      <c r="J336" s="34">
        <f>AVERAGE(I335:I336)</f>
        <v/>
      </c>
      <c r="K336" s="25" t="n"/>
      <c r="L336" s="25" t="n"/>
      <c r="M336" s="25" t="n"/>
      <c r="N336" s="25" t="n"/>
    </row>
    <row r="337" ht="16.5" customHeight="1" s="56">
      <c r="A337" s="57" t="n">
        <v>45805</v>
      </c>
      <c r="B337" s="27" t="n">
        <v>21539.15</v>
      </c>
      <c r="C337" s="27" t="n">
        <v>21634.37</v>
      </c>
      <c r="D337" s="28" t="n">
        <v>21305.73</v>
      </c>
      <c r="E337" s="27" t="n">
        <v>21357.72</v>
      </c>
      <c r="F337" s="27" t="n">
        <v>21.18</v>
      </c>
      <c r="G337" s="29" t="n">
        <v>20143.47</v>
      </c>
      <c r="H337" s="24">
        <f>E337-G337</f>
        <v/>
      </c>
      <c r="I337" s="34">
        <f>H337/1000</f>
        <v/>
      </c>
      <c r="J337" s="34">
        <f>AVERAGE(I336:I337)</f>
        <v/>
      </c>
      <c r="K337" s="25" t="n"/>
      <c r="L337" s="25" t="n"/>
      <c r="M337" s="25" t="n"/>
      <c r="N337" s="25" t="n"/>
    </row>
    <row r="338" ht="16.5" customHeight="1" s="56">
      <c r="A338" s="58" t="n">
        <v>45806</v>
      </c>
      <c r="B338" s="32" t="n">
        <v>21531.29</v>
      </c>
      <c r="C338" s="32" t="n">
        <v>21605.26</v>
      </c>
      <c r="D338" s="31" t="n">
        <v>21347.3</v>
      </c>
      <c r="E338" s="31" t="n">
        <v>21347.3</v>
      </c>
      <c r="F338" s="31" t="n">
        <v>-10.42</v>
      </c>
      <c r="G338" s="29" t="n">
        <v>20143.47</v>
      </c>
      <c r="H338" s="24">
        <f>E338-G338</f>
        <v/>
      </c>
      <c r="I338" s="34">
        <f>H338/1000</f>
        <v/>
      </c>
      <c r="J338" s="34">
        <f>AVERAGE(I337:I338)</f>
        <v/>
      </c>
      <c r="K338" s="25" t="n"/>
      <c r="L338" s="25" t="n"/>
      <c r="M338" s="25" t="n"/>
      <c r="N338" s="25" t="n"/>
    </row>
    <row r="339" ht="16.5" customHeight="1" s="56">
      <c r="A339" s="57" t="n">
        <v>45810</v>
      </c>
      <c r="B339" s="28" t="n">
        <v>21253.97</v>
      </c>
      <c r="C339" s="28" t="n">
        <v>21256.1</v>
      </c>
      <c r="D339" s="28" t="n">
        <v>20940.98</v>
      </c>
      <c r="E339" s="28" t="n">
        <v>21002.71</v>
      </c>
      <c r="F339" s="28" t="n">
        <v>-344.59</v>
      </c>
      <c r="G339" s="24" t="n">
        <v>19593.105</v>
      </c>
      <c r="H339" s="24">
        <f>E339-G339</f>
        <v/>
      </c>
      <c r="I339" s="34">
        <f>H339/1000</f>
        <v/>
      </c>
      <c r="J339" s="34">
        <f>AVERAGE(I338:I339)</f>
        <v/>
      </c>
      <c r="K339" s="25" t="n"/>
      <c r="L339" s="25" t="n"/>
      <c r="M339" s="25" t="n"/>
      <c r="N339" s="25" t="n"/>
    </row>
    <row r="340" ht="16.5" customHeight="1" s="56">
      <c r="A340" s="58" t="n">
        <v>45811</v>
      </c>
      <c r="B340" s="32" t="n">
        <v>21126.7</v>
      </c>
      <c r="C340" s="32" t="n">
        <v>21303.21</v>
      </c>
      <c r="D340" s="32" t="n">
        <v>21110.63</v>
      </c>
      <c r="E340" s="32" t="n">
        <v>21126.93</v>
      </c>
      <c r="F340" s="32" t="n">
        <v>124.22</v>
      </c>
      <c r="G340" s="24" t="n">
        <v>19593.105</v>
      </c>
      <c r="H340" s="24">
        <f>E340-G340</f>
        <v/>
      </c>
      <c r="I340" s="34">
        <f>H340/1000</f>
        <v/>
      </c>
      <c r="J340" s="34">
        <f>AVERAGE(I339:I340)</f>
        <v/>
      </c>
      <c r="K340" s="25" t="n"/>
      <c r="L340" s="25" t="n"/>
      <c r="M340" s="25" t="n"/>
      <c r="N340" s="25" t="n"/>
    </row>
    <row r="341" ht="16.5" customHeight="1" s="56">
      <c r="A341" s="57" t="n">
        <v>45812</v>
      </c>
      <c r="B341" s="27" t="n">
        <v>21341.44</v>
      </c>
      <c r="C341" s="27" t="n">
        <v>21618.09</v>
      </c>
      <c r="D341" s="27" t="n">
        <v>21341.44</v>
      </c>
      <c r="E341" s="27" t="n">
        <v>21618.09</v>
      </c>
      <c r="F341" s="27" t="n">
        <v>491.16</v>
      </c>
      <c r="G341" s="24" t="n">
        <v>19593.105</v>
      </c>
      <c r="H341" s="24">
        <f>E341-G341</f>
        <v/>
      </c>
      <c r="I341" s="34">
        <f>H341/1000</f>
        <v/>
      </c>
      <c r="J341" s="34">
        <f>AVERAGE(I340:I341)</f>
        <v/>
      </c>
      <c r="K341" s="25" t="n"/>
      <c r="L341" s="25" t="n"/>
      <c r="M341" s="25" t="n"/>
      <c r="N341" s="25" t="n"/>
    </row>
    <row r="342" ht="16.5" customHeight="1" s="56">
      <c r="A342" s="58" t="n">
        <v>45813</v>
      </c>
      <c r="B342" s="32" t="n">
        <v>21695.93</v>
      </c>
      <c r="C342" s="32" t="n">
        <v>21738.93</v>
      </c>
      <c r="D342" s="32" t="n">
        <v>21626.74</v>
      </c>
      <c r="E342" s="32" t="n">
        <v>21674.43</v>
      </c>
      <c r="F342" s="32" t="n">
        <v>56.34</v>
      </c>
      <c r="G342" s="24" t="n">
        <v>19593.105</v>
      </c>
      <c r="H342" s="24">
        <f>E342-G342</f>
        <v/>
      </c>
      <c r="I342" s="34">
        <f>H342/1000</f>
        <v/>
      </c>
      <c r="J342" s="34">
        <f>AVERAGE(I341:I342)</f>
        <v/>
      </c>
      <c r="K342" s="25" t="n"/>
      <c r="L342" s="25" t="n"/>
      <c r="M342" s="25" t="n"/>
      <c r="N342" s="25" t="n"/>
    </row>
    <row r="343" ht="16.5" customHeight="1" s="56">
      <c r="A343" s="57" t="n">
        <v>45814</v>
      </c>
      <c r="B343" s="28" t="n">
        <v>21637.77</v>
      </c>
      <c r="C343" s="27" t="n">
        <v>21702.46</v>
      </c>
      <c r="D343" s="28" t="n">
        <v>21606.7</v>
      </c>
      <c r="E343" s="28" t="n">
        <v>21660.66</v>
      </c>
      <c r="F343" s="28" t="n">
        <v>-13.77</v>
      </c>
      <c r="G343" s="24" t="n">
        <v>19593.105</v>
      </c>
      <c r="H343" s="24">
        <f>E343-G343</f>
        <v/>
      </c>
      <c r="I343" s="34">
        <f>H343/1000</f>
        <v/>
      </c>
      <c r="J343" s="34">
        <f>AVERAGE(I342:I343)</f>
        <v/>
      </c>
      <c r="K343" s="25" t="n"/>
      <c r="L343" s="25" t="n"/>
      <c r="M343" s="25" t="n"/>
      <c r="N343" s="25" t="n"/>
    </row>
    <row r="344" ht="16.5" customHeight="1" s="56">
      <c r="A344" s="58" t="n">
        <v>45817</v>
      </c>
      <c r="B344" s="32" t="n">
        <v>21773.45</v>
      </c>
      <c r="C344" s="32" t="n">
        <v>21866.27</v>
      </c>
      <c r="D344" s="32" t="n">
        <v>21717.52</v>
      </c>
      <c r="E344" s="32" t="n">
        <v>21790.29</v>
      </c>
      <c r="F344" s="32" t="n">
        <v>129.63</v>
      </c>
      <c r="G344" s="24" t="n">
        <v>19593.105</v>
      </c>
      <c r="H344" s="24">
        <f>E344-G344</f>
        <v/>
      </c>
      <c r="I344" s="34">
        <f>H344/1000</f>
        <v/>
      </c>
      <c r="J344" s="34">
        <f>AVERAGE(I343:I344)</f>
        <v/>
      </c>
      <c r="K344" s="25" t="n"/>
      <c r="L344" s="25" t="n"/>
      <c r="M344" s="25" t="n"/>
      <c r="N344" s="25" t="n"/>
    </row>
    <row r="345" ht="16.5" customHeight="1" s="56">
      <c r="A345" s="57" t="n">
        <v>45818</v>
      </c>
      <c r="B345" s="27" t="n">
        <v>21921.24</v>
      </c>
      <c r="C345" s="27" t="n">
        <v>22294.86</v>
      </c>
      <c r="D345" s="27" t="n">
        <v>21921.24</v>
      </c>
      <c r="E345" s="27" t="n">
        <v>22242.14</v>
      </c>
      <c r="F345" s="27" t="n">
        <v>451.85</v>
      </c>
      <c r="G345" s="24" t="n">
        <v>19593.105</v>
      </c>
      <c r="H345" s="24">
        <f>E345-G345</f>
        <v/>
      </c>
      <c r="I345" s="34">
        <f>H345/1000</f>
        <v/>
      </c>
      <c r="J345" s="34">
        <f>AVERAGE(I344:I345)</f>
        <v/>
      </c>
      <c r="K345" s="25" t="n"/>
      <c r="L345" s="25" t="n"/>
      <c r="M345" s="25" t="n"/>
      <c r="N345" s="25" t="n"/>
    </row>
    <row r="346" ht="16.5" customHeight="1" s="56">
      <c r="A346" s="58" t="n">
        <v>45819</v>
      </c>
      <c r="B346" s="32" t="n">
        <v>22376.37</v>
      </c>
      <c r="C346" s="32" t="n">
        <v>22470.1</v>
      </c>
      <c r="D346" s="32" t="n">
        <v>22294.6</v>
      </c>
      <c r="E346" s="32" t="n">
        <v>22470.1</v>
      </c>
      <c r="F346" s="32" t="n">
        <v>227.96</v>
      </c>
      <c r="G346" s="24" t="n">
        <v>19593.105</v>
      </c>
      <c r="H346" s="24">
        <f>E346-G346</f>
        <v/>
      </c>
      <c r="I346" s="34">
        <f>H346/1000</f>
        <v/>
      </c>
      <c r="J346" s="34">
        <f>AVERAGE(I345:I346)</f>
        <v/>
      </c>
      <c r="K346" s="25" t="n"/>
      <c r="L346" s="25" t="n"/>
      <c r="M346" s="25" t="n"/>
      <c r="N346" s="25" t="n"/>
    </row>
    <row r="347" ht="16.5" customHeight="1" s="56">
      <c r="A347" s="57" t="n">
        <v>45820</v>
      </c>
      <c r="B347" s="28" t="n">
        <v>22362.67</v>
      </c>
      <c r="C347" s="28" t="n">
        <v>22390.17</v>
      </c>
      <c r="D347" s="28" t="n">
        <v>22253.64</v>
      </c>
      <c r="E347" s="28" t="n">
        <v>22287.82</v>
      </c>
      <c r="F347" s="28" t="n">
        <v>-182.28</v>
      </c>
      <c r="G347" s="24" t="n">
        <v>19593.105</v>
      </c>
      <c r="H347" s="24">
        <f>E347-G347</f>
        <v/>
      </c>
      <c r="I347" s="34">
        <f>H347/1000</f>
        <v/>
      </c>
      <c r="J347" s="34">
        <f>AVERAGE(I346:I347)</f>
        <v/>
      </c>
      <c r="K347" s="25" t="n"/>
      <c r="L347" s="25" t="n"/>
      <c r="M347" s="25" t="n"/>
      <c r="N347" s="25" t="n"/>
    </row>
    <row r="348" ht="16.5" customHeight="1" s="56">
      <c r="A348" s="58" t="n">
        <v>45821</v>
      </c>
      <c r="B348" s="31" t="n">
        <v>22215.5</v>
      </c>
      <c r="C348" s="31" t="n">
        <v>22228.01</v>
      </c>
      <c r="D348" s="31" t="n">
        <v>21984.36</v>
      </c>
      <c r="E348" s="31" t="n">
        <v>22072.95</v>
      </c>
      <c r="F348" s="31" t="n">
        <v>-214.87</v>
      </c>
      <c r="G348" s="24" t="n">
        <v>19593.105</v>
      </c>
      <c r="H348" s="24">
        <f>E348-G348</f>
        <v/>
      </c>
      <c r="I348" s="34">
        <f>H348/1000</f>
        <v/>
      </c>
      <c r="J348" s="34">
        <f>AVERAGE(I347:I348)</f>
        <v/>
      </c>
      <c r="K348" s="25" t="n"/>
      <c r="L348" s="25" t="n"/>
      <c r="M348" s="25" t="n"/>
      <c r="N348" s="25" t="n"/>
    </row>
    <row r="349" ht="16.5" customHeight="1" s="56">
      <c r="A349" s="57" t="n">
        <v>45824</v>
      </c>
      <c r="B349" s="28" t="n">
        <v>22058.57</v>
      </c>
      <c r="C349" s="27" t="n">
        <v>22094.6</v>
      </c>
      <c r="D349" s="28" t="n">
        <v>21936.38</v>
      </c>
      <c r="E349" s="28" t="n">
        <v>22049.9</v>
      </c>
      <c r="F349" s="28" t="n">
        <v>-23.05</v>
      </c>
      <c r="G349" s="24" t="n">
        <v>19593.105</v>
      </c>
      <c r="H349" s="24">
        <f>E349-G349</f>
        <v/>
      </c>
      <c r="I349" s="34">
        <f>H349/1000</f>
        <v/>
      </c>
      <c r="J349" s="34">
        <f>AVERAGE(I348:I349)</f>
        <v/>
      </c>
      <c r="K349" s="25" t="n"/>
      <c r="L349" s="25" t="n"/>
      <c r="M349" s="25" t="n"/>
      <c r="N349" s="25" t="n"/>
    </row>
    <row r="350" ht="16.5" customHeight="1" s="56">
      <c r="A350" s="58" t="n">
        <v>45825</v>
      </c>
      <c r="B350" s="32" t="n">
        <v>22172.59</v>
      </c>
      <c r="C350" s="32" t="n">
        <v>22331.69</v>
      </c>
      <c r="D350" s="32" t="n">
        <v>22118.46</v>
      </c>
      <c r="E350" s="32" t="n">
        <v>22211.59</v>
      </c>
      <c r="F350" s="32" t="n">
        <v>161.69</v>
      </c>
      <c r="G350" s="24" t="n">
        <v>19593.105</v>
      </c>
      <c r="H350" s="24">
        <f>E350-G350</f>
        <v/>
      </c>
      <c r="I350" s="34">
        <f>H350/1000</f>
        <v/>
      </c>
      <c r="J350" s="34">
        <f>AVERAGE(I349:I350)</f>
        <v/>
      </c>
      <c r="K350" s="25" t="n"/>
      <c r="L350" s="25" t="n"/>
      <c r="M350" s="25" t="n"/>
      <c r="N350" s="25" t="n"/>
    </row>
    <row r="351" ht="16.5" customHeight="1" s="56">
      <c r="A351" s="57" t="n">
        <v>45826</v>
      </c>
      <c r="B351" s="28" t="n">
        <v>22135.83</v>
      </c>
      <c r="C351" s="27" t="n">
        <v>22370.25</v>
      </c>
      <c r="D351" s="28" t="n">
        <v>22104.68</v>
      </c>
      <c r="E351" s="27" t="n">
        <v>22356.73</v>
      </c>
      <c r="F351" s="27" t="n">
        <v>145.14</v>
      </c>
      <c r="G351" s="24" t="n">
        <v>19593.105</v>
      </c>
      <c r="H351" s="24">
        <f>E351-G351</f>
        <v/>
      </c>
      <c r="I351" s="34">
        <f>H351/1000</f>
        <v/>
      </c>
      <c r="J351" s="34">
        <f>AVERAGE(I350:I351)</f>
        <v/>
      </c>
      <c r="K351" s="25" t="n"/>
      <c r="L351" s="25" t="n"/>
      <c r="M351" s="25" t="n"/>
      <c r="N351" s="25" t="n"/>
    </row>
    <row r="352" ht="16.5" customHeight="1" s="56">
      <c r="A352" s="58" t="n">
        <v>45827</v>
      </c>
      <c r="B352" s="31" t="n">
        <v>22238.1</v>
      </c>
      <c r="C352" s="31" t="n">
        <v>22249.4</v>
      </c>
      <c r="D352" s="31" t="n">
        <v>21973.04</v>
      </c>
      <c r="E352" s="31" t="n">
        <v>22003.5</v>
      </c>
      <c r="F352" s="31" t="n">
        <v>-353.23</v>
      </c>
      <c r="G352" s="24" t="n">
        <v>19593.105</v>
      </c>
      <c r="H352" s="24">
        <f>E352-G352</f>
        <v/>
      </c>
      <c r="I352" s="34">
        <f>H352/1000</f>
        <v/>
      </c>
      <c r="J352" s="34">
        <f>AVERAGE(I351:I352)</f>
        <v/>
      </c>
      <c r="K352" s="25" t="n"/>
      <c r="L352" s="25" t="n"/>
      <c r="M352" s="25" t="n"/>
      <c r="N352" s="25" t="n"/>
    </row>
    <row r="353" ht="16.5" customHeight="1" s="56">
      <c r="A353" s="57" t="n">
        <v>45828</v>
      </c>
      <c r="B353" s="28" t="n">
        <v>21960.51</v>
      </c>
      <c r="C353" s="27" t="n">
        <v>22089.48</v>
      </c>
      <c r="D353" s="28" t="n">
        <v>21779.55</v>
      </c>
      <c r="E353" s="27" t="n">
        <v>22045.74</v>
      </c>
      <c r="F353" s="27" t="n">
        <v>42.24</v>
      </c>
      <c r="G353" s="24" t="n">
        <v>19593.105</v>
      </c>
      <c r="H353" s="24">
        <f>E353-G353</f>
        <v/>
      </c>
      <c r="I353" s="34">
        <f>H353/1000</f>
        <v/>
      </c>
      <c r="J353" s="34">
        <f>AVERAGE(I352:I353)</f>
        <v/>
      </c>
      <c r="K353" s="25" t="n"/>
      <c r="L353" s="25" t="n"/>
      <c r="M353" s="25" t="n"/>
      <c r="N353" s="25" t="n"/>
    </row>
    <row r="354" ht="16.5" customHeight="1" s="56">
      <c r="A354" s="58" t="n">
        <v>45831</v>
      </c>
      <c r="B354" s="31" t="n">
        <v>21750.7</v>
      </c>
      <c r="C354" s="31" t="n">
        <v>21801.32</v>
      </c>
      <c r="D354" s="31" t="n">
        <v>21551.58</v>
      </c>
      <c r="E354" s="31" t="n">
        <v>21732.02</v>
      </c>
      <c r="F354" s="31" t="n">
        <v>-313.72</v>
      </c>
      <c r="G354" s="24" t="n">
        <v>19593.105</v>
      </c>
      <c r="H354" s="24">
        <f>E354-G354</f>
        <v/>
      </c>
      <c r="I354" s="34">
        <f>H354/1000</f>
        <v/>
      </c>
      <c r="J354" s="34">
        <f>AVERAGE(I353:I354)</f>
        <v/>
      </c>
      <c r="K354" s="25" t="n"/>
      <c r="L354" s="25" t="n"/>
      <c r="M354" s="25" t="n"/>
      <c r="N354" s="25" t="n"/>
    </row>
    <row r="355" ht="16.5" customHeight="1" s="56">
      <c r="A355" s="57" t="n">
        <v>45832</v>
      </c>
      <c r="B355" s="27" t="n">
        <v>22001.48</v>
      </c>
      <c r="C355" s="27" t="n">
        <v>22201.05</v>
      </c>
      <c r="D355" s="27" t="n">
        <v>22001.48</v>
      </c>
      <c r="E355" s="27" t="n">
        <v>22188.76</v>
      </c>
      <c r="F355" s="27" t="n">
        <v>456.74</v>
      </c>
      <c r="G355" s="24" t="n">
        <v>19593.105</v>
      </c>
      <c r="H355" s="24">
        <f>E355-G355</f>
        <v/>
      </c>
      <c r="I355" s="34">
        <f>H355/1000</f>
        <v/>
      </c>
      <c r="J355" s="34">
        <f>AVERAGE(I354:I355)</f>
        <v/>
      </c>
      <c r="K355" s="25" t="n"/>
      <c r="L355" s="25" t="n"/>
      <c r="M355" s="25" t="n"/>
      <c r="N355" s="25" t="n"/>
    </row>
    <row r="356" ht="16.5" customHeight="1" s="56">
      <c r="A356" s="58" t="n">
        <v>45833</v>
      </c>
      <c r="B356" s="32" t="n">
        <v>22341.87</v>
      </c>
      <c r="C356" s="32" t="n">
        <v>22444.51</v>
      </c>
      <c r="D356" s="32" t="n">
        <v>22284.52</v>
      </c>
      <c r="E356" s="32" t="n">
        <v>22430.61</v>
      </c>
      <c r="F356" s="32" t="n">
        <v>241.85</v>
      </c>
      <c r="G356" s="24" t="n">
        <v>19593.105</v>
      </c>
      <c r="H356" s="24">
        <f>E356-G356</f>
        <v/>
      </c>
      <c r="I356" s="34">
        <f>H356/1000</f>
        <v/>
      </c>
      <c r="J356" s="34">
        <f>AVERAGE(I355:I356)</f>
        <v/>
      </c>
      <c r="K356" s="25" t="n"/>
      <c r="L356" s="25" t="n"/>
      <c r="M356" s="25" t="n"/>
      <c r="N356" s="25" t="n"/>
    </row>
    <row r="357" ht="16.5" customHeight="1" s="56">
      <c r="A357" s="57" t="n">
        <v>45834</v>
      </c>
      <c r="B357" s="28" t="n">
        <v>22425.39</v>
      </c>
      <c r="C357" s="27" t="n">
        <v>22587.67</v>
      </c>
      <c r="D357" s="28" t="n">
        <v>22391.27</v>
      </c>
      <c r="E357" s="27" t="n">
        <v>22492.34</v>
      </c>
      <c r="F357" s="27" t="n">
        <v>61.73</v>
      </c>
      <c r="G357" s="24" t="n">
        <v>19593.105</v>
      </c>
      <c r="H357" s="24">
        <f>E357-G357</f>
        <v/>
      </c>
      <c r="I357" s="34">
        <f>H357/1000</f>
        <v/>
      </c>
      <c r="J357" s="34">
        <f>AVERAGE(I356:I357)</f>
        <v/>
      </c>
      <c r="K357" s="25" t="n"/>
      <c r="L357" s="25" t="n"/>
      <c r="M357" s="25" t="n"/>
      <c r="N357" s="25" t="n"/>
    </row>
    <row r="358" ht="16.5" customHeight="1" s="56">
      <c r="A358" s="58" t="n">
        <v>45835</v>
      </c>
      <c r="B358" s="32" t="n">
        <v>22503.85</v>
      </c>
      <c r="C358" s="32" t="n">
        <v>22580.08</v>
      </c>
      <c r="D358" s="31" t="n">
        <v>22388.59</v>
      </c>
      <c r="E358" s="32" t="n">
        <v>22580.08</v>
      </c>
      <c r="F358" s="32" t="n">
        <v>87.73999999999999</v>
      </c>
      <c r="G358" s="24" t="n">
        <v>19593.105</v>
      </c>
      <c r="H358" s="24">
        <f>E358-G358</f>
        <v/>
      </c>
      <c r="I358" s="34">
        <f>H358/1000</f>
        <v/>
      </c>
      <c r="J358" s="34">
        <f>AVERAGE(I357:I358)</f>
        <v/>
      </c>
      <c r="K358" s="25" t="n"/>
      <c r="L358" s="25" t="n"/>
      <c r="M358" s="25" t="n"/>
      <c r="N358" s="25" t="n"/>
    </row>
    <row r="359" ht="16.5" customHeight="1" s="56">
      <c r="A359" s="57" t="n">
        <v>45838</v>
      </c>
      <c r="B359" s="28" t="n">
        <v>22508.33</v>
      </c>
      <c r="C359" s="28" t="n">
        <v>22558.95</v>
      </c>
      <c r="D359" s="28" t="n">
        <v>22256.02</v>
      </c>
      <c r="E359" s="28" t="n">
        <v>22256.02</v>
      </c>
      <c r="F359" s="28" t="n">
        <v>-324.06</v>
      </c>
      <c r="G359" s="24" t="n">
        <v>19593.105</v>
      </c>
      <c r="H359" s="24">
        <f>E359-G359</f>
        <v/>
      </c>
      <c r="I359" s="34">
        <f>H359/1000</f>
        <v/>
      </c>
      <c r="J359" s="34">
        <f>AVERAGE(I358:I359)</f>
        <v/>
      </c>
      <c r="K359" s="25" t="n"/>
      <c r="L359" s="25" t="n"/>
      <c r="M359" s="25" t="n"/>
      <c r="N359" s="25" t="n"/>
    </row>
    <row r="360" ht="16.5" customHeight="1" s="56">
      <c r="A360" s="58" t="n">
        <v>45839</v>
      </c>
      <c r="B360" s="32" t="n">
        <v>22419.74</v>
      </c>
      <c r="C360" s="32" t="n">
        <v>22730.76</v>
      </c>
      <c r="D360" s="32" t="n">
        <v>22401.58</v>
      </c>
      <c r="E360" s="32" t="n">
        <v>22553.72</v>
      </c>
      <c r="F360" s="32" t="n">
        <v>297.7</v>
      </c>
      <c r="G360" s="24" t="n">
        <v>21454.235</v>
      </c>
      <c r="H360" s="24">
        <f>E360-G360</f>
        <v/>
      </c>
      <c r="I360" s="34">
        <f>H360/1000</f>
        <v/>
      </c>
      <c r="J360" s="34">
        <f>AVERAGE(I359:I360)</f>
        <v/>
      </c>
      <c r="K360" s="25" t="n"/>
      <c r="L360" s="25" t="n"/>
      <c r="M360" s="25" t="n"/>
      <c r="N360" s="25" t="n"/>
    </row>
    <row r="361" ht="16.5" customHeight="1" s="56">
      <c r="A361" s="57" t="n">
        <v>45840</v>
      </c>
      <c r="B361" s="28" t="n">
        <v>22463.55</v>
      </c>
      <c r="C361" s="27" t="n">
        <v>22577.74</v>
      </c>
      <c r="D361" s="28" t="n">
        <v>22396.26</v>
      </c>
      <c r="E361" s="27" t="n">
        <v>22577.74</v>
      </c>
      <c r="F361" s="27" t="n">
        <v>24.02</v>
      </c>
      <c r="G361" s="24" t="n">
        <v>21454.235</v>
      </c>
      <c r="H361" s="24">
        <f>E361-G361</f>
        <v/>
      </c>
      <c r="I361" s="34">
        <f>H361/1000</f>
        <v/>
      </c>
      <c r="J361" s="34">
        <f>AVERAGE(I360:I361)</f>
        <v/>
      </c>
      <c r="K361" s="25" t="n"/>
      <c r="L361" s="25" t="n"/>
      <c r="M361" s="25" t="n"/>
      <c r="N361" s="25" t="n"/>
    </row>
    <row r="362" ht="16.5" customHeight="1" s="56">
      <c r="A362" s="58" t="n">
        <v>45841</v>
      </c>
      <c r="B362" s="32" t="n">
        <v>22707.41</v>
      </c>
      <c r="C362" s="32" t="n">
        <v>22816.2</v>
      </c>
      <c r="D362" s="32" t="n">
        <v>22700.86</v>
      </c>
      <c r="E362" s="32" t="n">
        <v>22712.97</v>
      </c>
      <c r="F362" s="32" t="n">
        <v>135.23</v>
      </c>
      <c r="G362" s="24" t="n">
        <v>21454.235</v>
      </c>
      <c r="H362" s="24">
        <f>E362-G362</f>
        <v/>
      </c>
      <c r="I362" s="34">
        <f>H362/1000</f>
        <v/>
      </c>
      <c r="J362" s="34">
        <f>AVERAGE(I361:I362)</f>
        <v/>
      </c>
      <c r="K362" s="25" t="n"/>
      <c r="L362" s="25" t="n"/>
      <c r="M362" s="25" t="n"/>
      <c r="N362" s="25" t="n"/>
    </row>
    <row r="363" ht="16.5" customHeight="1" s="56">
      <c r="A363" s="57" t="n">
        <v>45842</v>
      </c>
      <c r="B363" s="27" t="n">
        <v>22756.55</v>
      </c>
      <c r="C363" s="27" t="n">
        <v>22842.75</v>
      </c>
      <c r="D363" s="28" t="n">
        <v>22500.97</v>
      </c>
      <c r="E363" s="28" t="n">
        <v>22547.5</v>
      </c>
      <c r="F363" s="28" t="n">
        <v>-165.47</v>
      </c>
      <c r="G363" s="24" t="n">
        <v>21454.235</v>
      </c>
      <c r="H363" s="24">
        <f>E363-G363</f>
        <v/>
      </c>
      <c r="I363" s="34">
        <f>H363/1000</f>
        <v/>
      </c>
      <c r="J363" s="34">
        <f>AVERAGE(I362:I363)</f>
        <v/>
      </c>
      <c r="K363" s="25" t="n"/>
      <c r="L363" s="25" t="n"/>
      <c r="M363" s="25" t="n"/>
      <c r="N363" s="25" t="n"/>
    </row>
    <row r="364" ht="16.5" customHeight="1" s="56">
      <c r="A364" s="58" t="n">
        <v>45845</v>
      </c>
      <c r="B364" s="32" t="n">
        <v>22550.14</v>
      </c>
      <c r="C364" s="32" t="n">
        <v>22550.5</v>
      </c>
      <c r="D364" s="31" t="n">
        <v>22294.11</v>
      </c>
      <c r="E364" s="31" t="n">
        <v>22428.72</v>
      </c>
      <c r="F364" s="31" t="n">
        <v>-118.78</v>
      </c>
      <c r="G364" s="24" t="n">
        <v>21454.235</v>
      </c>
      <c r="H364" s="24">
        <f>E364-G364</f>
        <v/>
      </c>
      <c r="I364" s="34">
        <f>H364/1000</f>
        <v/>
      </c>
      <c r="J364" s="34">
        <f>AVERAGE(I363:I364)</f>
        <v/>
      </c>
      <c r="K364" s="25" t="n"/>
      <c r="L364" s="25" t="n"/>
      <c r="M364" s="25" t="n"/>
      <c r="N364" s="25" t="n"/>
    </row>
    <row r="365" ht="16.5" customHeight="1" s="56">
      <c r="A365" s="57" t="n">
        <v>45846</v>
      </c>
      <c r="B365" s="28" t="n">
        <v>22375.65</v>
      </c>
      <c r="C365" s="28" t="n">
        <v>22375.65</v>
      </c>
      <c r="D365" s="28" t="n">
        <v>22190.46</v>
      </c>
      <c r="E365" s="28" t="n">
        <v>22362.27</v>
      </c>
      <c r="F365" s="28" t="n">
        <v>-66.45</v>
      </c>
      <c r="G365" s="24" t="n">
        <v>21454.235</v>
      </c>
      <c r="H365" s="24">
        <f>E365-G365</f>
        <v/>
      </c>
      <c r="I365" s="34">
        <f>H365/1000</f>
        <v/>
      </c>
      <c r="J365" s="34">
        <f>AVERAGE(I364:I365)</f>
        <v/>
      </c>
      <c r="K365" s="25" t="n"/>
      <c r="L365" s="25" t="n"/>
      <c r="M365" s="25" t="n"/>
      <c r="N365" s="25" t="n"/>
    </row>
    <row r="366" ht="16.5" customHeight="1" s="56">
      <c r="A366" s="58" t="n">
        <v>45847</v>
      </c>
      <c r="B366" s="31" t="n">
        <v>22253.17</v>
      </c>
      <c r="C366" s="32" t="n">
        <v>22527.01</v>
      </c>
      <c r="D366" s="31" t="n">
        <v>22211.1</v>
      </c>
      <c r="E366" s="32" t="n">
        <v>22527.01</v>
      </c>
      <c r="F366" s="32" t="n">
        <v>164.74</v>
      </c>
      <c r="G366" s="24" t="n">
        <v>21454.235</v>
      </c>
      <c r="H366" s="24">
        <f>E366-G366</f>
        <v/>
      </c>
      <c r="I366" s="34">
        <f>H366/1000</f>
        <v/>
      </c>
      <c r="J366" s="34">
        <f>AVERAGE(I365:I366)</f>
        <v/>
      </c>
      <c r="K366" s="25" t="n"/>
      <c r="L366" s="25" t="n"/>
      <c r="M366" s="25" t="n"/>
      <c r="N366" s="25" t="n"/>
    </row>
    <row r="367" ht="16.5" customHeight="1" s="56">
      <c r="A367" s="57" t="n">
        <v>45848</v>
      </c>
      <c r="B367" s="27" t="n">
        <v>22566.51</v>
      </c>
      <c r="C367" s="27" t="n">
        <v>22699.29</v>
      </c>
      <c r="D367" s="28" t="n">
        <v>22513.35</v>
      </c>
      <c r="E367" s="27" t="n">
        <v>22693.25</v>
      </c>
      <c r="F367" s="27" t="n">
        <v>166.24</v>
      </c>
      <c r="G367" s="24" t="n">
        <v>21454.235</v>
      </c>
      <c r="H367" s="24">
        <f>E367-G367</f>
        <v/>
      </c>
      <c r="I367" s="34">
        <f>H367/1000</f>
        <v/>
      </c>
      <c r="J367" s="34">
        <f>AVERAGE(I366:I367)</f>
        <v/>
      </c>
      <c r="K367" s="25" t="n"/>
      <c r="L367" s="25" t="n"/>
      <c r="M367" s="25" t="n"/>
      <c r="N367" s="25" t="n"/>
    </row>
    <row r="368" ht="16.5" customHeight="1" s="56">
      <c r="A368" s="58" t="n">
        <v>45849</v>
      </c>
      <c r="B368" s="31" t="n">
        <v>22602.81</v>
      </c>
      <c r="C368" s="32" t="n">
        <v>22770.01</v>
      </c>
      <c r="D368" s="31" t="n">
        <v>22601.95</v>
      </c>
      <c r="E368" s="32" t="n">
        <v>22751.03</v>
      </c>
      <c r="F368" s="32" t="n">
        <v>57.78</v>
      </c>
      <c r="G368" s="24" t="n">
        <v>21454.235</v>
      </c>
      <c r="H368" s="24">
        <f>E368-G368</f>
        <v/>
      </c>
      <c r="I368" s="34">
        <f>H368/1000</f>
        <v/>
      </c>
      <c r="J368" s="34">
        <f>AVERAGE(I367:I368)</f>
        <v/>
      </c>
      <c r="K368" s="25" t="n"/>
      <c r="L368" s="25" t="n"/>
      <c r="M368" s="25" t="n"/>
      <c r="N368" s="25" t="n"/>
    </row>
    <row r="369" ht="16.5" customHeight="1" s="56">
      <c r="A369" s="57" t="n">
        <v>45852</v>
      </c>
      <c r="B369" s="28" t="n">
        <v>22679.18</v>
      </c>
      <c r="C369" s="28" t="n">
        <v>22735.23</v>
      </c>
      <c r="D369" s="28" t="n">
        <v>22525.66</v>
      </c>
      <c r="E369" s="28" t="n">
        <v>22614.97</v>
      </c>
      <c r="F369" s="28" t="n">
        <v>-136.06</v>
      </c>
      <c r="G369" s="24" t="n">
        <v>21454.235</v>
      </c>
      <c r="H369" s="24">
        <f>E369-G369</f>
        <v/>
      </c>
      <c r="I369" s="34">
        <f>H369/1000</f>
        <v/>
      </c>
      <c r="J369" s="34">
        <f>AVERAGE(I368:I369)</f>
        <v/>
      </c>
      <c r="K369" s="25" t="n"/>
      <c r="L369" s="25" t="n"/>
      <c r="M369" s="25" t="n"/>
      <c r="N369" s="25" t="n"/>
    </row>
    <row r="370" ht="16.5" customHeight="1" s="56">
      <c r="A370" s="58" t="n">
        <v>45853</v>
      </c>
      <c r="B370" s="32" t="n">
        <v>22618.43</v>
      </c>
      <c r="C370" s="32" t="n">
        <v>22888.23</v>
      </c>
      <c r="D370" s="31" t="n">
        <v>22588.26</v>
      </c>
      <c r="E370" s="32" t="n">
        <v>22835.94</v>
      </c>
      <c r="F370" s="32" t="n">
        <v>220.97</v>
      </c>
      <c r="G370" s="24" t="n">
        <v>21454.235</v>
      </c>
      <c r="H370" s="24">
        <f>E370-G370</f>
        <v/>
      </c>
      <c r="I370" s="34">
        <f>H370/1000</f>
        <v/>
      </c>
      <c r="J370" s="34">
        <f>AVERAGE(I369:I370)</f>
        <v/>
      </c>
      <c r="K370" s="25" t="n"/>
      <c r="L370" s="25" t="n"/>
      <c r="M370" s="25" t="n"/>
      <c r="N370" s="25" t="n"/>
    </row>
    <row r="371" ht="16.5" customHeight="1" s="56">
      <c r="A371" s="57" t="n">
        <v>45854</v>
      </c>
      <c r="B371" s="27" t="n">
        <v>22967.51</v>
      </c>
      <c r="C371" s="27" t="n">
        <v>23106.43</v>
      </c>
      <c r="D371" s="27" t="n">
        <v>22923.12</v>
      </c>
      <c r="E371" s="27" t="n">
        <v>23042.9</v>
      </c>
      <c r="F371" s="27" t="n">
        <v>206.96</v>
      </c>
      <c r="G371" s="24" t="n">
        <v>21454.235</v>
      </c>
      <c r="H371" s="24">
        <f>E371-G371</f>
        <v/>
      </c>
      <c r="I371" s="34">
        <f>H371/1000</f>
        <v/>
      </c>
      <c r="J371" s="34">
        <f>AVERAGE(I370:I371)</f>
        <v/>
      </c>
      <c r="K371" s="25" t="n"/>
      <c r="L371" s="25" t="n"/>
      <c r="M371" s="25" t="n"/>
      <c r="N371" s="25" t="n"/>
    </row>
    <row r="372" ht="16.5" customHeight="1" s="56">
      <c r="A372" s="58" t="n">
        <v>45855</v>
      </c>
      <c r="B372" s="32" t="n">
        <v>23042.97</v>
      </c>
      <c r="C372" s="32" t="n">
        <v>23159.54</v>
      </c>
      <c r="D372" s="31" t="n">
        <v>22923.37</v>
      </c>
      <c r="E372" s="32" t="n">
        <v>23113.28</v>
      </c>
      <c r="F372" s="32" t="n">
        <v>70.38</v>
      </c>
      <c r="G372" s="24" t="n">
        <v>21454.235</v>
      </c>
      <c r="H372" s="24">
        <f>E372-G372</f>
        <v/>
      </c>
      <c r="I372" s="34">
        <f>H372/1000</f>
        <v/>
      </c>
      <c r="J372" s="34">
        <f>AVERAGE(I371:I372)</f>
        <v/>
      </c>
      <c r="K372" s="25" t="n"/>
      <c r="L372" s="25" t="n"/>
      <c r="M372" s="25" t="n"/>
      <c r="N372" s="25" t="n"/>
    </row>
    <row r="373" ht="16.5" customHeight="1" s="56">
      <c r="A373" s="57" t="n">
        <v>45856</v>
      </c>
      <c r="B373" s="27" t="n">
        <v>23345.72</v>
      </c>
      <c r="C373" s="27" t="n">
        <v>23468.21</v>
      </c>
      <c r="D373" s="27" t="n">
        <v>23276.02</v>
      </c>
      <c r="E373" s="27" t="n">
        <v>23383.13</v>
      </c>
      <c r="F373" s="27" t="n">
        <v>269.85</v>
      </c>
      <c r="G373" s="24" t="n">
        <v>21454.235</v>
      </c>
      <c r="H373" s="24">
        <f>E373-G373</f>
        <v/>
      </c>
      <c r="I373" s="34">
        <f>H373/1000</f>
        <v/>
      </c>
      <c r="J373" s="34">
        <f>AVERAGE(I372:I373)</f>
        <v/>
      </c>
      <c r="K373" s="25" t="n"/>
      <c r="L373" s="25" t="n"/>
      <c r="M373" s="25" t="n"/>
      <c r="N373" s="25" t="n"/>
    </row>
    <row r="374" ht="16.5" customHeight="1" s="56">
      <c r="A374" s="58" t="n">
        <v>45859</v>
      </c>
      <c r="B374" s="31" t="n">
        <v>23314.29</v>
      </c>
      <c r="C374" s="32" t="n">
        <v>23403.83</v>
      </c>
      <c r="D374" s="31" t="n">
        <v>23243.79</v>
      </c>
      <c r="E374" s="31" t="n">
        <v>23340.56</v>
      </c>
      <c r="F374" s="31" t="n">
        <v>-42.57</v>
      </c>
      <c r="G374" s="24" t="n">
        <v>21454.235</v>
      </c>
      <c r="H374" s="24">
        <f>E374-G374</f>
        <v/>
      </c>
      <c r="I374" s="34">
        <f>H374/1000</f>
        <v/>
      </c>
      <c r="J374" s="34">
        <f>AVERAGE(I373:I374)</f>
        <v/>
      </c>
      <c r="K374" s="25" t="n"/>
      <c r="L374" s="25" t="n"/>
      <c r="M374" s="25" t="n"/>
      <c r="N374" s="25" t="n"/>
    </row>
    <row r="375" ht="16.5" customHeight="1" s="56">
      <c r="A375" s="57" t="n">
        <v>45860</v>
      </c>
      <c r="B375" s="28" t="n">
        <v>23301.66</v>
      </c>
      <c r="C375" s="27" t="n">
        <v>23486.08</v>
      </c>
      <c r="D375" s="28" t="n">
        <v>22985.9</v>
      </c>
      <c r="E375" s="28" t="n">
        <v>22987.92</v>
      </c>
      <c r="F375" s="28" t="n">
        <v>-352.64</v>
      </c>
      <c r="G375" s="24" t="n">
        <v>21454.235</v>
      </c>
      <c r="H375" s="24">
        <f>E375-G375</f>
        <v/>
      </c>
      <c r="I375" s="34">
        <f>H375/1000</f>
        <v/>
      </c>
      <c r="J375" s="34">
        <f>AVERAGE(I374:I375)</f>
        <v/>
      </c>
      <c r="K375" s="25" t="n"/>
      <c r="L375" s="25" t="n"/>
      <c r="M375" s="25" t="n"/>
      <c r="N375" s="25" t="n"/>
    </row>
    <row r="376" ht="16.5" customHeight="1" s="56">
      <c r="A376" s="58" t="n">
        <v>45861</v>
      </c>
      <c r="B376" s="32" t="n">
        <v>23063.57</v>
      </c>
      <c r="C376" s="32" t="n">
        <v>23318.67</v>
      </c>
      <c r="D376" s="32" t="n">
        <v>23063.57</v>
      </c>
      <c r="E376" s="32" t="n">
        <v>23318.67</v>
      </c>
      <c r="F376" s="32" t="n">
        <v>330.75</v>
      </c>
      <c r="G376" s="24" t="n">
        <v>21454.235</v>
      </c>
      <c r="H376" s="24">
        <f>E376-G376</f>
        <v/>
      </c>
      <c r="I376" s="34">
        <f>H376/1000</f>
        <v/>
      </c>
      <c r="J376" s="34">
        <f>AVERAGE(I375:I376)</f>
        <v/>
      </c>
      <c r="K376" s="25" t="n"/>
      <c r="L376" s="25" t="n"/>
      <c r="M376" s="25" t="n"/>
      <c r="N376" s="25" t="n"/>
    </row>
    <row r="377" ht="16.5" customHeight="1" s="56">
      <c r="A377" s="57" t="n">
        <v>45862</v>
      </c>
      <c r="B377" s="27" t="n">
        <v>23373.67</v>
      </c>
      <c r="C377" s="27" t="n">
        <v>23455.09</v>
      </c>
      <c r="D377" s="28" t="n">
        <v>23295.31</v>
      </c>
      <c r="E377" s="27" t="n">
        <v>23373.73</v>
      </c>
      <c r="F377" s="27" t="n">
        <v>55.06</v>
      </c>
      <c r="G377" s="24" t="n">
        <v>21454.235</v>
      </c>
      <c r="H377" s="24">
        <f>E377-G377</f>
        <v/>
      </c>
      <c r="I377" s="34">
        <f>H377/1000</f>
        <v/>
      </c>
      <c r="J377" s="34">
        <f>AVERAGE(I376:I377)</f>
        <v/>
      </c>
      <c r="K377" s="25" t="n"/>
      <c r="L377" s="25" t="n"/>
      <c r="M377" s="25" t="n"/>
      <c r="N377" s="25" t="n"/>
    </row>
    <row r="378" ht="16.5" customHeight="1" s="56">
      <c r="A378" s="58" t="n">
        <v>45863</v>
      </c>
      <c r="B378" s="32" t="n">
        <v>23454.59</v>
      </c>
      <c r="C378" s="32" t="n">
        <v>23485.56</v>
      </c>
      <c r="D378" s="31" t="n">
        <v>23308.45</v>
      </c>
      <c r="E378" s="31" t="n">
        <v>23364.38</v>
      </c>
      <c r="F378" s="31" t="n">
        <v>-9.35</v>
      </c>
      <c r="G378" s="24" t="n">
        <v>21454.235</v>
      </c>
      <c r="H378" s="24">
        <f>E378-G378</f>
        <v/>
      </c>
      <c r="I378" s="34">
        <f>H378/1000</f>
        <v/>
      </c>
      <c r="J378" s="34">
        <f>AVERAGE(I377:I378)</f>
        <v/>
      </c>
      <c r="K378" s="25" t="n"/>
      <c r="L378" s="25" t="n"/>
      <c r="M378" s="25" t="n"/>
      <c r="N378" s="25" t="n"/>
    </row>
    <row r="379" ht="16.5" customHeight="1" s="56">
      <c r="A379" s="57" t="n">
        <v>45866</v>
      </c>
      <c r="B379" s="27" t="n">
        <v>23477.1</v>
      </c>
      <c r="C379" s="27" t="n">
        <v>23564.44</v>
      </c>
      <c r="D379" s="28" t="n">
        <v>23350.73</v>
      </c>
      <c r="E379" s="27" t="n">
        <v>23412.98</v>
      </c>
      <c r="F379" s="27" t="n">
        <v>48.6</v>
      </c>
      <c r="G379" s="24" t="n">
        <v>21454.235</v>
      </c>
      <c r="H379" s="24">
        <f>E379-G379</f>
        <v/>
      </c>
      <c r="I379" s="34">
        <f>H379/1000</f>
        <v/>
      </c>
      <c r="J379" s="34">
        <f>AVERAGE(I378:I379)</f>
        <v/>
      </c>
      <c r="K379" s="25" t="n"/>
      <c r="L379" s="25" t="n"/>
      <c r="M379" s="25" t="n"/>
      <c r="N379" s="25" t="n"/>
    </row>
    <row r="380" ht="16.5" customHeight="1" s="56">
      <c r="A380" s="58" t="n">
        <v>45867</v>
      </c>
      <c r="B380" s="32" t="n">
        <v>23414.36</v>
      </c>
      <c r="C380" s="32" t="n">
        <v>23422.17</v>
      </c>
      <c r="D380" s="31" t="n">
        <v>23094.67</v>
      </c>
      <c r="E380" s="31" t="n">
        <v>23201.52</v>
      </c>
      <c r="F380" s="31" t="n">
        <v>-211.46</v>
      </c>
      <c r="G380" s="24" t="n">
        <v>21454.235</v>
      </c>
      <c r="H380" s="24">
        <f>E380-G380</f>
        <v/>
      </c>
      <c r="I380" s="34">
        <f>H380/1000</f>
        <v/>
      </c>
      <c r="J380" s="34">
        <f>AVERAGE(I379:I380)</f>
        <v/>
      </c>
      <c r="K380" s="25" t="n"/>
      <c r="L380" s="25" t="n"/>
      <c r="M380" s="25" t="n"/>
      <c r="N380" s="25" t="n"/>
    </row>
    <row r="381" ht="16.5" customHeight="1" s="56">
      <c r="A381" s="57" t="n">
        <v>45868</v>
      </c>
      <c r="B381" s="27" t="n">
        <v>23288.72</v>
      </c>
      <c r="C381" s="27" t="n">
        <v>23461.72</v>
      </c>
      <c r="D381" s="27" t="n">
        <v>23264.64</v>
      </c>
      <c r="E381" s="27" t="n">
        <v>23461.72</v>
      </c>
      <c r="F381" s="27" t="n">
        <v>260.2</v>
      </c>
      <c r="G381" s="24" t="n">
        <v>21454.235</v>
      </c>
      <c r="H381" s="24">
        <f>E381-G381</f>
        <v/>
      </c>
      <c r="I381" s="34">
        <f>H381/1000</f>
        <v/>
      </c>
      <c r="J381" s="34">
        <f>AVERAGE(I380:I381)</f>
        <v/>
      </c>
      <c r="K381" s="25" t="n"/>
      <c r="L381" s="25" t="n"/>
      <c r="M381" s="25" t="n"/>
      <c r="N381" s="25" t="n"/>
    </row>
    <row r="382" ht="16.5" customHeight="1" s="56">
      <c r="A382" s="58" t="n">
        <v>45869</v>
      </c>
      <c r="B382" s="32" t="n">
        <v>23523.59</v>
      </c>
      <c r="C382" s="32" t="n">
        <v>23631.11</v>
      </c>
      <c r="D382" s="31" t="n">
        <v>23454.44</v>
      </c>
      <c r="E382" s="32" t="n">
        <v>23542.52</v>
      </c>
      <c r="F382" s="32" t="n">
        <v>80.8</v>
      </c>
      <c r="G382" s="24" t="n">
        <v>21454.235</v>
      </c>
      <c r="H382" s="24">
        <f>E382-G382</f>
        <v/>
      </c>
      <c r="I382" s="34">
        <f>H382/1000</f>
        <v/>
      </c>
      <c r="J382" s="34">
        <f>AVERAGE(I381:I382)</f>
        <v/>
      </c>
      <c r="K382" s="25" t="n"/>
      <c r="L382" s="25" t="n"/>
      <c r="M382" s="25" t="n"/>
      <c r="N382" s="25" t="n"/>
    </row>
    <row r="383" ht="16.5" customHeight="1" s="56">
      <c r="A383" s="57" t="n">
        <v>45870</v>
      </c>
      <c r="B383" s="28" t="n">
        <v>23318.37</v>
      </c>
      <c r="C383" s="28" t="n">
        <v>23484.21</v>
      </c>
      <c r="D383" s="28" t="n">
        <v>23168.27</v>
      </c>
      <c r="E383" s="28" t="n">
        <v>23434.38</v>
      </c>
      <c r="F383" s="28" t="n">
        <v>-108.14</v>
      </c>
      <c r="G383" s="24" t="n">
        <v>22286.045</v>
      </c>
      <c r="H383" s="24">
        <f>E383-G383</f>
        <v/>
      </c>
      <c r="I383" s="34">
        <f>H383/1000</f>
        <v/>
      </c>
      <c r="J383" s="34">
        <f>AVERAGE(I382:I383)</f>
        <v/>
      </c>
      <c r="K383" s="25" t="n"/>
      <c r="L383" s="25" t="n"/>
      <c r="M383" s="25" t="n"/>
      <c r="N383" s="25" t="n"/>
    </row>
    <row r="384" ht="16.5" customHeight="1" s="56">
      <c r="A384" s="58" t="n">
        <v>45873</v>
      </c>
      <c r="B384" s="31" t="n">
        <v>23260.18</v>
      </c>
      <c r="C384" s="31" t="n">
        <v>23378.94</v>
      </c>
      <c r="D384" s="31" t="n">
        <v>23151.65</v>
      </c>
      <c r="E384" s="31" t="n">
        <v>23378.94</v>
      </c>
      <c r="F384" s="31" t="n">
        <v>-55.44</v>
      </c>
      <c r="G384" s="24" t="n">
        <v>22286.045</v>
      </c>
      <c r="H384" s="24">
        <f>E384-G384</f>
        <v/>
      </c>
      <c r="I384" s="34">
        <f>H384/1000</f>
        <v/>
      </c>
      <c r="J384" s="34">
        <f>AVERAGE(I383:I384)</f>
        <v/>
      </c>
      <c r="K384" s="25" t="n"/>
      <c r="L384" s="25" t="n"/>
      <c r="M384" s="25" t="n"/>
      <c r="N384" s="25" t="n"/>
    </row>
    <row r="385" ht="16.5" customHeight="1" s="56">
      <c r="A385" s="57" t="n">
        <v>45874</v>
      </c>
      <c r="B385" s="27" t="n">
        <v>23498.4</v>
      </c>
      <c r="C385" s="27" t="n">
        <v>23671.84</v>
      </c>
      <c r="D385" s="27" t="n">
        <v>23498.4</v>
      </c>
      <c r="E385" s="27" t="n">
        <v>23660.59</v>
      </c>
      <c r="F385" s="27" t="n">
        <v>281.65</v>
      </c>
      <c r="G385" s="24" t="n">
        <v>22286.045</v>
      </c>
      <c r="H385" s="24">
        <f>E385-G385</f>
        <v/>
      </c>
      <c r="I385" s="34">
        <f>H385/1000</f>
        <v/>
      </c>
      <c r="J385" s="34">
        <f>AVERAGE(I384:I385)</f>
        <v/>
      </c>
      <c r="K385" s="25" t="n"/>
      <c r="L385" s="25" t="n"/>
      <c r="M385" s="25" t="n"/>
      <c r="N385" s="25" t="n"/>
    </row>
    <row r="386" ht="16.5" customHeight="1" s="56">
      <c r="A386" s="58" t="n">
        <v>45875</v>
      </c>
      <c r="B386" s="31" t="n">
        <v>23443.36</v>
      </c>
      <c r="C386" s="31" t="n">
        <v>23557.49</v>
      </c>
      <c r="D386" s="31" t="n">
        <v>23433.53</v>
      </c>
      <c r="E386" s="31" t="n">
        <v>23447.36</v>
      </c>
      <c r="F386" s="31" t="n">
        <v>-213.23</v>
      </c>
      <c r="G386" s="24" t="n">
        <v>22286.045</v>
      </c>
      <c r="H386" s="24">
        <f>E386-G386</f>
        <v/>
      </c>
      <c r="I386" s="34">
        <f>H386/1000</f>
        <v/>
      </c>
      <c r="J386" s="34">
        <f>AVERAGE(I385:I386)</f>
        <v/>
      </c>
      <c r="K386" s="25" t="n"/>
      <c r="L386" s="25" t="n"/>
      <c r="M386" s="25" t="n"/>
      <c r="N386" s="25" t="n"/>
    </row>
    <row r="387" ht="16.5" customHeight="1" s="56">
      <c r="A387" s="57" t="n">
        <v>45876</v>
      </c>
      <c r="B387" s="27" t="n">
        <v>23717.35</v>
      </c>
      <c r="C387" s="27" t="n">
        <v>24050.54</v>
      </c>
      <c r="D387" s="27" t="n">
        <v>23717.35</v>
      </c>
      <c r="E387" s="27" t="n">
        <v>24003.77</v>
      </c>
      <c r="F387" s="27" t="n">
        <v>556.41</v>
      </c>
      <c r="G387" s="24" t="n">
        <v>22286.045</v>
      </c>
      <c r="H387" s="24">
        <f>E387-G387</f>
        <v/>
      </c>
      <c r="I387" s="34">
        <f>H387/1000</f>
        <v/>
      </c>
      <c r="J387" s="34">
        <f>AVERAGE(I386:I387)</f>
        <v/>
      </c>
      <c r="K387" s="25" t="n"/>
      <c r="L387" s="25" t="n"/>
      <c r="M387" s="25" t="n"/>
      <c r="N387" s="25" t="n"/>
    </row>
    <row r="388" ht="16.5" customHeight="1" s="56">
      <c r="A388" s="58" t="n">
        <v>45877</v>
      </c>
      <c r="B388" s="32" t="n">
        <v>24026.65</v>
      </c>
      <c r="C388" s="32" t="n">
        <v>24131.46</v>
      </c>
      <c r="D388" s="31" t="n">
        <v>23967.99</v>
      </c>
      <c r="E388" s="32" t="n">
        <v>24021.26</v>
      </c>
      <c r="F388" s="32" t="n">
        <v>17.49</v>
      </c>
      <c r="G388" s="24" t="n">
        <v>22286.045</v>
      </c>
      <c r="H388" s="24">
        <f>E388-G388</f>
        <v/>
      </c>
      <c r="I388" s="34">
        <f>H388/1000</f>
        <v/>
      </c>
      <c r="J388" s="34">
        <f>AVERAGE(I387:I388)</f>
        <v/>
      </c>
      <c r="K388" s="25" t="n"/>
      <c r="L388" s="25" t="n"/>
      <c r="M388" s="25" t="n"/>
      <c r="N388" s="25" t="n"/>
    </row>
    <row r="389" ht="16.5" customHeight="1" s="56">
      <c r="A389" s="57" t="n">
        <v>45880</v>
      </c>
      <c r="B389" s="28" t="n">
        <v>23980.39</v>
      </c>
      <c r="C389" s="27" t="n">
        <v>24249.05</v>
      </c>
      <c r="D389" s="28" t="n">
        <v>23887.25</v>
      </c>
      <c r="E389" s="27" t="n">
        <v>24135.5</v>
      </c>
      <c r="F389" s="27" t="n">
        <v>114.24</v>
      </c>
      <c r="G389" s="24" t="n">
        <v>22286.045</v>
      </c>
      <c r="H389" s="24">
        <f>E389-G389</f>
        <v/>
      </c>
      <c r="I389" s="34">
        <f>H389/1000</f>
        <v/>
      </c>
      <c r="J389" s="34">
        <f>AVERAGE(I388:I389)</f>
        <v/>
      </c>
      <c r="K389" s="25" t="n"/>
      <c r="L389" s="25" t="n"/>
      <c r="M389" s="25" t="n"/>
      <c r="N389" s="25" t="n"/>
    </row>
    <row r="390" ht="16.5" customHeight="1" s="56">
      <c r="A390" s="58" t="n">
        <v>45881</v>
      </c>
      <c r="B390" s="32" t="n">
        <v>24182.84</v>
      </c>
      <c r="C390" s="32" t="n">
        <v>24263.92</v>
      </c>
      <c r="D390" s="31" t="n">
        <v>24065.43</v>
      </c>
      <c r="E390" s="32" t="n">
        <v>24158.36</v>
      </c>
      <c r="F390" s="32" t="n">
        <v>22.86</v>
      </c>
      <c r="G390" s="24" t="n">
        <v>22286.045</v>
      </c>
      <c r="H390" s="24">
        <f>E390-G390</f>
        <v/>
      </c>
      <c r="I390" s="34">
        <f>H390/1000</f>
        <v/>
      </c>
      <c r="J390" s="34">
        <f>AVERAGE(I389:I390)</f>
        <v/>
      </c>
      <c r="K390" s="25" t="n"/>
      <c r="L390" s="25" t="n"/>
      <c r="M390" s="25" t="n"/>
      <c r="N390" s="25" t="n"/>
    </row>
    <row r="391" ht="16.5" customHeight="1" s="56">
      <c r="A391" s="57" t="n">
        <v>45882</v>
      </c>
      <c r="B391" s="27" t="n">
        <v>24232.04</v>
      </c>
      <c r="C391" s="27" t="n">
        <v>24406.94</v>
      </c>
      <c r="D391" s="27" t="n">
        <v>24172.19</v>
      </c>
      <c r="E391" s="27" t="n">
        <v>24370.02</v>
      </c>
      <c r="F391" s="27" t="n">
        <v>211.66</v>
      </c>
      <c r="G391" s="24" t="n">
        <v>22286.045</v>
      </c>
      <c r="H391" s="24">
        <f>E391-G391</f>
        <v/>
      </c>
      <c r="I391" s="34">
        <f>H391/1000</f>
        <v/>
      </c>
      <c r="J391" s="34">
        <f>AVERAGE(I390:I391)</f>
        <v/>
      </c>
      <c r="K391" s="25" t="n"/>
      <c r="L391" s="25" t="n"/>
      <c r="M391" s="25" t="n"/>
      <c r="N391" s="25" t="n"/>
    </row>
    <row r="392" ht="16.5" customHeight="1" s="56">
      <c r="A392" s="58" t="n">
        <v>45883</v>
      </c>
      <c r="B392" s="31" t="n">
        <v>24258.5</v>
      </c>
      <c r="C392" s="32" t="n">
        <v>24389.51</v>
      </c>
      <c r="D392" s="31" t="n">
        <v>24198.88</v>
      </c>
      <c r="E392" s="31" t="n">
        <v>24238.1</v>
      </c>
      <c r="F392" s="31" t="n">
        <v>-131.92</v>
      </c>
      <c r="G392" s="24" t="n">
        <v>22286.045</v>
      </c>
      <c r="H392" s="24">
        <f>E392-G392</f>
        <v/>
      </c>
      <c r="I392" s="34">
        <f>H392/1000</f>
        <v/>
      </c>
      <c r="J392" s="34">
        <f>AVERAGE(I391:I392)</f>
        <v/>
      </c>
      <c r="K392" s="25" t="n"/>
      <c r="L392" s="25" t="n"/>
      <c r="M392" s="25" t="n"/>
      <c r="N392" s="25" t="n"/>
    </row>
    <row r="393" ht="16.5" customHeight="1" s="56">
      <c r="A393" s="57" t="n">
        <v>45884</v>
      </c>
      <c r="B393" s="27" t="n">
        <v>24266.23</v>
      </c>
      <c r="C393" s="27" t="n">
        <v>24385.56</v>
      </c>
      <c r="D393" s="28" t="n">
        <v>24164.43</v>
      </c>
      <c r="E393" s="27" t="n">
        <v>24334.48</v>
      </c>
      <c r="F393" s="27" t="n">
        <v>96.38</v>
      </c>
      <c r="G393" s="24" t="n">
        <v>22286.045</v>
      </c>
      <c r="H393" s="24">
        <f>E393-G393</f>
        <v/>
      </c>
      <c r="I393" s="34">
        <f>H393/1000</f>
        <v/>
      </c>
      <c r="J393" s="34">
        <f>AVERAGE(I392:I393)</f>
        <v/>
      </c>
      <c r="K393" s="25" t="n"/>
      <c r="L393" s="25" t="n"/>
      <c r="M393" s="25" t="n"/>
      <c r="N393" s="25" t="n"/>
    </row>
    <row r="394" ht="16.5" customHeight="1" s="56">
      <c r="A394" s="58" t="n">
        <v>45887</v>
      </c>
      <c r="B394" s="31" t="n">
        <v>24272.55</v>
      </c>
      <c r="C394" s="32" t="n">
        <v>24515.65</v>
      </c>
      <c r="D394" s="31" t="n">
        <v>24257.3</v>
      </c>
      <c r="E394" s="32" t="n">
        <v>24482.52</v>
      </c>
      <c r="F394" s="32" t="n">
        <v>148.04</v>
      </c>
      <c r="G394" s="24" t="n">
        <v>22286.045</v>
      </c>
      <c r="H394" s="24">
        <f>E394-G394</f>
        <v/>
      </c>
      <c r="I394" s="34">
        <f>H394/1000</f>
        <v/>
      </c>
      <c r="J394" s="34">
        <f>AVERAGE(I393:I394)</f>
        <v/>
      </c>
      <c r="K394" s="25" t="n"/>
      <c r="L394" s="25" t="n"/>
      <c r="M394" s="25" t="n"/>
      <c r="N394" s="25" t="n"/>
    </row>
    <row r="395" ht="16.5" customHeight="1" s="56">
      <c r="A395" s="57" t="n">
        <v>45888</v>
      </c>
      <c r="B395" s="27" t="n">
        <v>24493.92</v>
      </c>
      <c r="C395" s="27" t="n">
        <v>24551.42</v>
      </c>
      <c r="D395" s="28" t="n">
        <v>24324.29</v>
      </c>
      <c r="E395" s="28" t="n">
        <v>24353.5</v>
      </c>
      <c r="F395" s="28" t="n">
        <v>-129.02</v>
      </c>
      <c r="G395" s="24" t="n">
        <v>22286.045</v>
      </c>
      <c r="H395" s="24">
        <f>E395-G395</f>
        <v/>
      </c>
      <c r="I395" s="34">
        <f>H395/1000</f>
        <v/>
      </c>
      <c r="J395" s="34">
        <f>AVERAGE(I394:I395)</f>
        <v/>
      </c>
      <c r="K395" s="25" t="n"/>
      <c r="L395" s="25" t="n"/>
      <c r="M395" s="25" t="n"/>
      <c r="N395" s="25" t="n"/>
    </row>
    <row r="396" ht="16.5" customHeight="1" s="56">
      <c r="A396" s="58" t="n">
        <v>45889</v>
      </c>
      <c r="B396" s="31" t="n">
        <v>24309.27</v>
      </c>
      <c r="C396" s="31" t="n">
        <v>24309.27</v>
      </c>
      <c r="D396" s="31" t="n">
        <v>23620.24</v>
      </c>
      <c r="E396" s="31" t="n">
        <v>23625.44</v>
      </c>
      <c r="F396" s="31" t="n">
        <v>-728.0599999999999</v>
      </c>
      <c r="G396" s="24" t="n">
        <v>22286.045</v>
      </c>
      <c r="H396" s="24">
        <f>E396-G396</f>
        <v/>
      </c>
      <c r="I396" s="34">
        <f>H396/1000</f>
        <v/>
      </c>
      <c r="J396" s="34">
        <f>AVERAGE(I395:I396)</f>
        <v/>
      </c>
      <c r="K396" s="25" t="n"/>
      <c r="L396" s="25" t="n"/>
      <c r="M396" s="25" t="n"/>
      <c r="N396" s="25" t="n"/>
    </row>
    <row r="397" ht="16.5" customHeight="1" s="56">
      <c r="A397" s="57" t="n">
        <v>45890</v>
      </c>
      <c r="B397" s="27" t="n">
        <v>23739.83</v>
      </c>
      <c r="C397" s="27" t="n">
        <v>24011.5</v>
      </c>
      <c r="D397" s="27" t="n">
        <v>23739.83</v>
      </c>
      <c r="E397" s="27" t="n">
        <v>23962.13</v>
      </c>
      <c r="F397" s="27" t="n">
        <v>336.69</v>
      </c>
      <c r="G397" s="24" t="n">
        <v>22286.045</v>
      </c>
      <c r="H397" s="24">
        <f>E397-G397</f>
        <v/>
      </c>
      <c r="I397" s="34">
        <f>H397/1000</f>
        <v/>
      </c>
      <c r="J397" s="34">
        <f>AVERAGE(I396:I397)</f>
        <v/>
      </c>
      <c r="K397" s="25" t="n"/>
      <c r="L397" s="25" t="n"/>
      <c r="M397" s="25" t="n"/>
      <c r="N397" s="25" t="n"/>
    </row>
    <row r="398" ht="16.5" customHeight="1" s="56">
      <c r="A398" s="58" t="n">
        <v>45891</v>
      </c>
      <c r="B398" s="32" t="n">
        <v>24033.02</v>
      </c>
      <c r="C398" s="32" t="n">
        <v>24071.65</v>
      </c>
      <c r="D398" s="31" t="n">
        <v>23764.47</v>
      </c>
      <c r="E398" s="31" t="n">
        <v>23764.47</v>
      </c>
      <c r="F398" s="31" t="n">
        <v>-197.66</v>
      </c>
      <c r="G398" s="24" t="n">
        <v>22286.045</v>
      </c>
      <c r="H398" s="24">
        <f>E398-G398</f>
        <v/>
      </c>
      <c r="I398" s="34">
        <f>H398/1000</f>
        <v/>
      </c>
      <c r="J398" s="34">
        <f>AVERAGE(I397:I398)</f>
        <v/>
      </c>
      <c r="K398" s="25" t="n"/>
      <c r="L398" s="25" t="n"/>
      <c r="M398" s="25" t="n"/>
      <c r="N398" s="25" t="n"/>
    </row>
    <row r="399" ht="16.5" customHeight="1" s="56">
      <c r="A399" s="57" t="n">
        <v>45894</v>
      </c>
      <c r="B399" s="27" t="n">
        <v>24108.81</v>
      </c>
      <c r="C399" s="27" t="n">
        <v>24362.02</v>
      </c>
      <c r="D399" s="27" t="n">
        <v>24108.75</v>
      </c>
      <c r="E399" s="27" t="n">
        <v>24277.38</v>
      </c>
      <c r="F399" s="27" t="n">
        <v>512.91</v>
      </c>
      <c r="G399" s="24" t="n">
        <v>22286.045</v>
      </c>
      <c r="H399" s="24">
        <f>E399-G399</f>
        <v/>
      </c>
      <c r="I399" s="34">
        <f>H399/1000</f>
        <v/>
      </c>
      <c r="J399" s="34">
        <f>AVERAGE(I398:I399)</f>
        <v/>
      </c>
      <c r="K399" s="25" t="n"/>
      <c r="L399" s="25" t="n"/>
      <c r="M399" s="25" t="n"/>
      <c r="N399" s="25" t="n"/>
    </row>
    <row r="400" ht="16.5" customHeight="1" s="56">
      <c r="A400" s="58" t="n">
        <v>45895</v>
      </c>
      <c r="B400" s="31" t="n">
        <v>24237.36</v>
      </c>
      <c r="C400" s="32" t="n">
        <v>24382.42</v>
      </c>
      <c r="D400" s="31" t="n">
        <v>24113.03</v>
      </c>
      <c r="E400" s="32" t="n">
        <v>24305.1</v>
      </c>
      <c r="F400" s="32" t="n">
        <v>27.72</v>
      </c>
      <c r="G400" s="24" t="n">
        <v>22286.045</v>
      </c>
      <c r="H400" s="24">
        <f>E400-G400</f>
        <v/>
      </c>
      <c r="I400" s="34">
        <f>H400/1000</f>
        <v/>
      </c>
      <c r="J400" s="34">
        <f>AVERAGE(I399:I400)</f>
        <v/>
      </c>
      <c r="K400" s="25" t="n"/>
      <c r="L400" s="25" t="n"/>
      <c r="M400" s="25" t="n"/>
      <c r="N400" s="25" t="n"/>
    </row>
    <row r="401" ht="16.5" customHeight="1" s="56">
      <c r="A401" s="57" t="n">
        <v>45896</v>
      </c>
      <c r="B401" s="27" t="n">
        <v>24449.81</v>
      </c>
      <c r="C401" s="27" t="n">
        <v>24539.88</v>
      </c>
      <c r="D401" s="27" t="n">
        <v>24410.08</v>
      </c>
      <c r="E401" s="27" t="n">
        <v>24519.9</v>
      </c>
      <c r="F401" s="27" t="n">
        <v>214.8</v>
      </c>
      <c r="G401" s="24" t="n">
        <v>22286.045</v>
      </c>
      <c r="H401" s="24">
        <f>E401-G401</f>
        <v/>
      </c>
      <c r="I401" s="34">
        <f>H401/1000</f>
        <v/>
      </c>
      <c r="J401" s="34">
        <f>AVERAGE(I400:I401)</f>
        <v/>
      </c>
      <c r="K401" s="25" t="n"/>
      <c r="L401" s="25" t="n"/>
      <c r="M401" s="25" t="n"/>
      <c r="N401" s="25" t="n"/>
    </row>
    <row r="402" ht="16.5" customHeight="1" s="56">
      <c r="A402" s="58" t="n">
        <v>45897</v>
      </c>
      <c r="B402" s="31" t="n">
        <v>24468.12</v>
      </c>
      <c r="C402" s="31" t="n">
        <v>24502.37</v>
      </c>
      <c r="D402" s="31" t="n">
        <v>24236.45</v>
      </c>
      <c r="E402" s="31" t="n">
        <v>24236.45</v>
      </c>
      <c r="F402" s="31" t="n">
        <v>-283.45</v>
      </c>
      <c r="G402" s="24" t="n">
        <v>22286.045</v>
      </c>
      <c r="H402" s="24">
        <f>E402-G402</f>
        <v/>
      </c>
      <c r="I402" s="34">
        <f>H402/1000</f>
        <v/>
      </c>
      <c r="J402" s="34">
        <f>AVERAGE(I401:I402)</f>
        <v/>
      </c>
      <c r="K402" s="25" t="n"/>
      <c r="L402" s="25" t="n"/>
      <c r="M402" s="25" t="n"/>
      <c r="N402" s="25" t="n"/>
    </row>
    <row r="403" ht="16.5" customHeight="1" s="56">
      <c r="A403" s="57" t="n">
        <v>45898</v>
      </c>
      <c r="B403" s="27" t="n">
        <v>24438.03</v>
      </c>
      <c r="C403" s="27" t="n">
        <v>24570.15</v>
      </c>
      <c r="D403" s="28" t="n">
        <v>24233.1</v>
      </c>
      <c r="E403" s="28" t="n">
        <v>24233.1</v>
      </c>
      <c r="F403" s="28" t="n">
        <v>-3.35</v>
      </c>
      <c r="G403" s="24" t="n">
        <v>22286.045</v>
      </c>
      <c r="H403" s="24">
        <f>E403-G403</f>
        <v/>
      </c>
      <c r="I403" s="34">
        <f>H403/1000</f>
        <v/>
      </c>
      <c r="J403" s="34">
        <f>AVERAGE(I402:I403)</f>
        <v/>
      </c>
      <c r="K403" s="25" t="n"/>
      <c r="L403" s="25" t="n"/>
      <c r="M403" s="25" t="n"/>
      <c r="N403" s="25" t="n"/>
    </row>
    <row r="404" ht="16.5" customHeight="1" s="56">
      <c r="A404" s="58" t="n">
        <v>45901</v>
      </c>
      <c r="B404" s="31" t="n">
        <v>24143.37</v>
      </c>
      <c r="C404" s="32" t="n">
        <v>24312.83</v>
      </c>
      <c r="D404" s="31" t="n">
        <v>23885.41</v>
      </c>
      <c r="E404" s="31" t="n">
        <v>24071.73</v>
      </c>
      <c r="F404" s="31" t="n">
        <v>-161.37</v>
      </c>
      <c r="G404" s="29" t="n">
        <v>23380.305</v>
      </c>
      <c r="H404" s="24">
        <f>E404-G404</f>
        <v/>
      </c>
      <c r="I404" s="34">
        <f>H404/1000</f>
        <v/>
      </c>
      <c r="J404" s="34">
        <f>AVERAGE(I403:I404)</f>
        <v/>
      </c>
      <c r="K404" s="25" t="n"/>
      <c r="L404" s="25" t="n"/>
      <c r="M404" s="25" t="n"/>
      <c r="N404" s="25" t="n"/>
    </row>
    <row r="405" ht="16.5" customHeight="1" s="56">
      <c r="A405" s="57" t="n">
        <v>45902</v>
      </c>
      <c r="B405" s="27" t="n">
        <v>24113.9</v>
      </c>
      <c r="C405" s="27" t="n">
        <v>24295.03</v>
      </c>
      <c r="D405" s="28" t="n">
        <v>23890.33</v>
      </c>
      <c r="E405" s="28" t="n">
        <v>24016.78</v>
      </c>
      <c r="F405" s="28" t="n">
        <v>-54.95</v>
      </c>
      <c r="G405" s="29" t="n">
        <v>23380.305</v>
      </c>
      <c r="H405" s="24">
        <f>E405-G405</f>
        <v/>
      </c>
      <c r="I405" s="34">
        <f>H405/1000</f>
        <v/>
      </c>
      <c r="J405" s="34">
        <f>AVERAGE(I404:I405)</f>
        <v/>
      </c>
      <c r="K405" s="25" t="n"/>
      <c r="L405" s="25" t="n"/>
      <c r="M405" s="25" t="n"/>
      <c r="N405" s="25" t="n"/>
    </row>
    <row r="406" ht="16.5" customHeight="1" s="56">
      <c r="A406" s="58" t="n">
        <v>45903</v>
      </c>
      <c r="B406" s="32" t="n">
        <v>24036.88</v>
      </c>
      <c r="C406" s="32" t="n">
        <v>24103.23</v>
      </c>
      <c r="D406" s="31" t="n">
        <v>23925.49</v>
      </c>
      <c r="E406" s="32" t="n">
        <v>24100.3</v>
      </c>
      <c r="F406" s="32" t="n">
        <v>83.52</v>
      </c>
      <c r="G406" s="29" t="n">
        <v>23380.305</v>
      </c>
      <c r="H406" s="24">
        <f>E406-G406</f>
        <v/>
      </c>
      <c r="I406" s="34">
        <f>H406/1000</f>
        <v/>
      </c>
      <c r="J406" s="34">
        <f>AVERAGE(I405:I406)</f>
        <v/>
      </c>
      <c r="K406" s="25" t="n"/>
      <c r="L406" s="25" t="n"/>
      <c r="M406" s="25" t="n"/>
      <c r="N406" s="25" t="n"/>
    </row>
    <row r="407" ht="16.5" customHeight="1" s="56">
      <c r="A407" s="57" t="n">
        <v>45904</v>
      </c>
      <c r="B407" s="27" t="n">
        <v>24235.27</v>
      </c>
      <c r="C407" s="27" t="n">
        <v>24389.35</v>
      </c>
      <c r="D407" s="27" t="n">
        <v>24168.16</v>
      </c>
      <c r="E407" s="27" t="n">
        <v>24179.85</v>
      </c>
      <c r="F407" s="27" t="n">
        <v>79.55</v>
      </c>
      <c r="G407" s="29" t="n">
        <v>23380.305</v>
      </c>
      <c r="H407" s="24">
        <f>E407-G407</f>
        <v/>
      </c>
      <c r="I407" s="34">
        <f>H407/1000</f>
        <v/>
      </c>
      <c r="J407" s="34">
        <f>AVERAGE(I406:I407)</f>
        <v/>
      </c>
      <c r="K407" s="25" t="n"/>
      <c r="L407" s="25" t="n"/>
      <c r="M407" s="25" t="n"/>
      <c r="N407" s="25" t="n"/>
    </row>
    <row r="408" ht="16.5" customHeight="1" s="56">
      <c r="A408" s="58" t="n">
        <v>45905</v>
      </c>
      <c r="B408" s="32" t="n">
        <v>24244.26</v>
      </c>
      <c r="C408" s="32" t="n">
        <v>24494.58</v>
      </c>
      <c r="D408" s="32" t="n">
        <v>24244.26</v>
      </c>
      <c r="E408" s="32" t="n">
        <v>24494.58</v>
      </c>
      <c r="F408" s="32" t="n">
        <v>314.73</v>
      </c>
      <c r="G408" s="29" t="n">
        <v>23380.305</v>
      </c>
      <c r="H408" s="24">
        <f>E408-G408</f>
        <v/>
      </c>
      <c r="I408" s="34">
        <f>H408/1000</f>
        <v/>
      </c>
      <c r="J408" s="34">
        <f>AVERAGE(I407:I408)</f>
        <v/>
      </c>
      <c r="K408" s="25" t="n"/>
      <c r="L408" s="25" t="n"/>
      <c r="M408" s="25" t="n"/>
      <c r="N408" s="25" t="n"/>
    </row>
    <row r="409" ht="16.5" customHeight="1" s="56">
      <c r="A409" s="57" t="n">
        <v>45908</v>
      </c>
      <c r="B409" s="27" t="n">
        <v>24610.85</v>
      </c>
      <c r="C409" s="27" t="n">
        <v>24729.96</v>
      </c>
      <c r="D409" s="27" t="n">
        <v>24547.38</v>
      </c>
      <c r="E409" s="27" t="n">
        <v>24547.38</v>
      </c>
      <c r="F409" s="27" t="n">
        <v>52.8</v>
      </c>
      <c r="G409" s="29" t="n">
        <v>23380.305</v>
      </c>
      <c r="H409" s="24">
        <f>E409-G409</f>
        <v/>
      </c>
      <c r="I409" s="34">
        <f>H409/1000</f>
        <v/>
      </c>
      <c r="J409" s="34">
        <f>AVERAGE(I408:I409)</f>
        <v/>
      </c>
      <c r="K409" s="25" t="n"/>
      <c r="L409" s="25" t="n"/>
      <c r="M409" s="25" t="n"/>
      <c r="N409" s="25" t="n"/>
    </row>
    <row r="410" ht="16.5" customHeight="1" s="56">
      <c r="A410" s="58" t="n">
        <v>45909</v>
      </c>
      <c r="B410" s="32" t="n">
        <v>24650.46</v>
      </c>
      <c r="C410" s="32" t="n">
        <v>24880.07</v>
      </c>
      <c r="D410" s="32" t="n">
        <v>24650.46</v>
      </c>
      <c r="E410" s="32" t="n">
        <v>24855.18</v>
      </c>
      <c r="F410" s="32" t="n">
        <v>307.8</v>
      </c>
      <c r="G410" s="29" t="n">
        <v>23380.305</v>
      </c>
      <c r="H410" s="24">
        <f>E410-G410</f>
        <v/>
      </c>
      <c r="I410" s="34">
        <f>H410/1000</f>
        <v/>
      </c>
      <c r="J410" s="34">
        <f>AVERAGE(I409:I410)</f>
        <v/>
      </c>
      <c r="K410" s="25" t="n"/>
      <c r="L410" s="25" t="n"/>
      <c r="M410" s="25" t="n"/>
      <c r="N410" s="25" t="n"/>
    </row>
    <row r="411" ht="16.5" customHeight="1" s="56">
      <c r="A411" s="57" t="n">
        <v>45910</v>
      </c>
      <c r="B411" s="27" t="n">
        <v>25032.88</v>
      </c>
      <c r="C411" s="27" t="n">
        <v>25272.23</v>
      </c>
      <c r="D411" s="27" t="n">
        <v>25032.88</v>
      </c>
      <c r="E411" s="27" t="n">
        <v>25192.59</v>
      </c>
      <c r="F411" s="27" t="n">
        <v>337.41</v>
      </c>
      <c r="G411" s="29" t="n">
        <v>23380.305</v>
      </c>
      <c r="H411" s="24">
        <f>E411-G411</f>
        <v/>
      </c>
      <c r="I411" s="34">
        <f>H411/1000</f>
        <v/>
      </c>
      <c r="J411" s="34">
        <f>AVERAGE(I410:I411)</f>
        <v/>
      </c>
      <c r="K411" s="25" t="n"/>
      <c r="L411" s="25" t="n"/>
      <c r="M411" s="25" t="n"/>
      <c r="N411" s="25" t="n"/>
    </row>
    <row r="412" ht="16.5" customHeight="1" s="56">
      <c r="A412" s="58" t="n">
        <v>45911</v>
      </c>
      <c r="B412" s="32" t="n">
        <v>25509.3</v>
      </c>
      <c r="C412" s="32" t="n">
        <v>25541.44</v>
      </c>
      <c r="D412" s="31" t="n">
        <v>25174.13</v>
      </c>
      <c r="E412" s="32" t="n">
        <v>25215.71</v>
      </c>
      <c r="F412" s="32" t="n">
        <v>23.12</v>
      </c>
      <c r="G412" s="29" t="n">
        <v>23380.305</v>
      </c>
      <c r="H412" s="24">
        <f>E412-G412</f>
        <v/>
      </c>
      <c r="I412" s="34">
        <f>H412/1000</f>
        <v/>
      </c>
      <c r="J412" s="34">
        <f>AVERAGE(I411:I412)</f>
        <v/>
      </c>
      <c r="K412" s="25" t="n"/>
      <c r="L412" s="25" t="n"/>
      <c r="M412" s="25" t="n"/>
      <c r="N412" s="25" t="n"/>
    </row>
    <row r="413" ht="16.5" customHeight="1" s="56">
      <c r="A413" s="57" t="n">
        <v>45912</v>
      </c>
      <c r="B413" s="27" t="n">
        <v>25349.7</v>
      </c>
      <c r="C413" s="27" t="n">
        <v>25492.28</v>
      </c>
      <c r="D413" s="27" t="n">
        <v>25349.7</v>
      </c>
      <c r="E413" s="27" t="n">
        <v>25474.64</v>
      </c>
      <c r="F413" s="27" t="n">
        <v>258.93</v>
      </c>
      <c r="G413" s="29" t="n">
        <v>23380.305</v>
      </c>
      <c r="H413" s="24">
        <f>E413-G413</f>
        <v/>
      </c>
      <c r="I413" s="34">
        <f>H413/1000</f>
        <v/>
      </c>
      <c r="J413" s="34">
        <f>AVERAGE(I412:I413)</f>
        <v/>
      </c>
      <c r="K413" s="25" t="n"/>
      <c r="L413" s="25" t="n"/>
      <c r="M413" s="25" t="n"/>
      <c r="N413" s="25" t="n"/>
    </row>
    <row r="414" ht="16.5" customHeight="1" s="56">
      <c r="A414" s="58" t="n">
        <v>45915</v>
      </c>
      <c r="B414" s="32" t="n">
        <v>25494.1</v>
      </c>
      <c r="C414" s="32" t="n">
        <v>25519.94</v>
      </c>
      <c r="D414" s="31" t="n">
        <v>25284.17</v>
      </c>
      <c r="E414" s="31" t="n">
        <v>25357.16</v>
      </c>
      <c r="F414" s="31" t="n">
        <v>-117.48</v>
      </c>
      <c r="G414" s="29" t="n">
        <v>23380.305</v>
      </c>
      <c r="H414" s="24">
        <f>E414-G414</f>
        <v/>
      </c>
      <c r="I414" s="34">
        <f>H414/1000</f>
        <v/>
      </c>
      <c r="J414" s="34">
        <f>AVERAGE(I413:I414)</f>
        <v/>
      </c>
      <c r="K414" s="25" t="n"/>
      <c r="L414" s="25" t="n"/>
      <c r="M414" s="25" t="n"/>
      <c r="N414" s="25" t="n"/>
    </row>
    <row r="415" ht="16.5" customHeight="1" s="56">
      <c r="A415" s="57" t="n">
        <v>45916</v>
      </c>
      <c r="B415" s="28" t="n">
        <v>25335.46</v>
      </c>
      <c r="C415" s="27" t="n">
        <v>25664.81</v>
      </c>
      <c r="D415" s="28" t="n">
        <v>25335.46</v>
      </c>
      <c r="E415" s="27" t="n">
        <v>25629.64</v>
      </c>
      <c r="F415" s="27" t="n">
        <v>272.48</v>
      </c>
      <c r="G415" s="29" t="n">
        <v>23380.305</v>
      </c>
      <c r="H415" s="24">
        <f>E415-G415</f>
        <v/>
      </c>
      <c r="I415" s="34">
        <f>H415/1000</f>
        <v/>
      </c>
      <c r="J415" s="34">
        <f>AVERAGE(I414:I415)</f>
        <v/>
      </c>
      <c r="K415" s="25" t="n"/>
      <c r="L415" s="25" t="n"/>
      <c r="M415" s="25" t="n"/>
      <c r="N415" s="25" t="n"/>
    </row>
    <row r="416" ht="16.5" customHeight="1" s="56">
      <c r="A416" s="58" t="n">
        <v>45917</v>
      </c>
      <c r="B416" s="31" t="n">
        <v>25543.91</v>
      </c>
      <c r="C416" s="32" t="n">
        <v>25632.07</v>
      </c>
      <c r="D416" s="31" t="n">
        <v>25422.96</v>
      </c>
      <c r="E416" s="31" t="n">
        <v>25438.25</v>
      </c>
      <c r="F416" s="31" t="n">
        <v>-191.39</v>
      </c>
      <c r="G416" s="29" t="n">
        <v>23380.305</v>
      </c>
      <c r="H416" s="24">
        <f>E416-G416</f>
        <v/>
      </c>
      <c r="I416" s="34">
        <f>H416/1000</f>
        <v/>
      </c>
      <c r="J416" s="34">
        <f>AVERAGE(I415:I416)</f>
        <v/>
      </c>
      <c r="K416" s="25" t="n"/>
      <c r="L416" s="25" t="n"/>
      <c r="M416" s="25" t="n"/>
      <c r="N416" s="25" t="n"/>
    </row>
    <row r="417" ht="16.5" customHeight="1" s="56">
      <c r="A417" s="57" t="n">
        <v>45918</v>
      </c>
      <c r="B417" s="27" t="n">
        <v>25543.17</v>
      </c>
      <c r="C417" s="27" t="n">
        <v>25769.36</v>
      </c>
      <c r="D417" s="27" t="n">
        <v>25475.25</v>
      </c>
      <c r="E417" s="27" t="n">
        <v>25769.36</v>
      </c>
      <c r="F417" s="27" t="n">
        <v>331.11</v>
      </c>
      <c r="G417" s="29" t="n">
        <v>23380.305</v>
      </c>
      <c r="H417" s="24">
        <f>E417-G417</f>
        <v/>
      </c>
      <c r="I417" s="34">
        <f>H417/1000</f>
        <v/>
      </c>
      <c r="J417" s="34">
        <f>AVERAGE(I416:I417)</f>
        <v/>
      </c>
      <c r="K417" s="25" t="n"/>
      <c r="L417" s="25" t="n"/>
      <c r="M417" s="25" t="n"/>
      <c r="N417" s="25" t="n"/>
    </row>
    <row r="418" ht="16.5" customHeight="1" s="56">
      <c r="A418" s="58" t="n">
        <v>45919</v>
      </c>
      <c r="B418" s="32" t="n">
        <v>25794.66</v>
      </c>
      <c r="C418" s="32" t="n">
        <v>25864.01</v>
      </c>
      <c r="D418" s="31" t="n">
        <v>25578.37</v>
      </c>
      <c r="E418" s="31" t="n">
        <v>25578.37</v>
      </c>
      <c r="F418" s="31" t="n">
        <v>-190.99</v>
      </c>
      <c r="G418" s="29" t="n">
        <v>23380.305</v>
      </c>
      <c r="H418" s="24">
        <f>E418-G418</f>
        <v/>
      </c>
      <c r="I418" s="34">
        <f>H418/1000</f>
        <v/>
      </c>
      <c r="J418" s="34">
        <f>AVERAGE(I417:I418)</f>
        <v/>
      </c>
      <c r="K418" s="25" t="n"/>
      <c r="L418" s="25" t="n"/>
      <c r="M418" s="25" t="n"/>
      <c r="N418" s="25" t="n"/>
    </row>
    <row r="419" ht="16.5" customHeight="1" s="56">
      <c r="A419" s="57" t="n">
        <v>45922</v>
      </c>
      <c r="B419" s="27" t="n">
        <v>25599.6</v>
      </c>
      <c r="C419" s="27" t="n">
        <v>25887.69</v>
      </c>
      <c r="D419" s="27" t="n">
        <v>25599.6</v>
      </c>
      <c r="E419" s="27" t="n">
        <v>25880.6</v>
      </c>
      <c r="F419" s="27" t="n">
        <v>302.23</v>
      </c>
      <c r="G419" s="29" t="n">
        <v>23380.305</v>
      </c>
      <c r="H419" s="24">
        <f>E419-G419</f>
        <v/>
      </c>
      <c r="I419" s="34">
        <f>H419/1000</f>
        <v/>
      </c>
      <c r="J419" s="34">
        <f>AVERAGE(I418:I419)</f>
        <v/>
      </c>
      <c r="K419" s="25" t="n"/>
      <c r="L419" s="25" t="n"/>
      <c r="M419" s="25" t="n"/>
      <c r="N419" s="25" t="n"/>
    </row>
    <row r="420" ht="16.5" customHeight="1" s="56">
      <c r="A420" s="58" t="n">
        <v>45923</v>
      </c>
      <c r="B420" s="32" t="n">
        <v>26121</v>
      </c>
      <c r="C420" s="32" t="n">
        <v>26307.3</v>
      </c>
      <c r="D420" s="32" t="n">
        <v>26041.69</v>
      </c>
      <c r="E420" s="32" t="n">
        <v>26247.37</v>
      </c>
      <c r="F420" s="32" t="n">
        <v>366.77</v>
      </c>
      <c r="G420" s="29" t="n">
        <v>23380.305</v>
      </c>
      <c r="H420" s="24">
        <f>E420-G420</f>
        <v/>
      </c>
      <c r="I420" s="34">
        <f>H420/1000</f>
        <v/>
      </c>
      <c r="J420" s="34">
        <f>AVERAGE(I419:I420)</f>
        <v/>
      </c>
      <c r="K420" s="25" t="n"/>
      <c r="L420" s="25" t="n"/>
      <c r="M420" s="25" t="n"/>
      <c r="N420" s="25" t="n"/>
    </row>
    <row r="421" ht="16.5" customHeight="1" s="56">
      <c r="A421" s="57" t="n">
        <v>45924</v>
      </c>
      <c r="B421" s="27" t="n">
        <v>26389.16</v>
      </c>
      <c r="C421" s="27" t="n">
        <v>26394.03</v>
      </c>
      <c r="D421" s="28" t="n">
        <v>26045.47</v>
      </c>
      <c r="E421" s="28" t="n">
        <v>26196.73</v>
      </c>
      <c r="F421" s="28" t="n">
        <v>-50.64</v>
      </c>
      <c r="G421" s="29" t="n">
        <v>23380.305</v>
      </c>
      <c r="H421" s="24">
        <f>E421-G421</f>
        <v/>
      </c>
      <c r="I421" s="34">
        <f>H421/1000</f>
        <v/>
      </c>
      <c r="J421" s="34">
        <f>AVERAGE(I420:I421)</f>
        <v/>
      </c>
      <c r="K421" s="25" t="n"/>
      <c r="L421" s="25" t="n"/>
      <c r="M421" s="25" t="n"/>
      <c r="N421" s="25" t="n"/>
    </row>
    <row r="422" ht="16.5" customHeight="1" s="56">
      <c r="A422" s="58" t="n">
        <v>45925</v>
      </c>
      <c r="B422" s="31" t="n">
        <v>26067.97</v>
      </c>
      <c r="C422" s="32" t="n">
        <v>26247.85</v>
      </c>
      <c r="D422" s="31" t="n">
        <v>26023.85</v>
      </c>
      <c r="E422" s="31" t="n">
        <v>26023.85</v>
      </c>
      <c r="F422" s="31" t="n">
        <v>-172.88</v>
      </c>
      <c r="G422" s="29" t="n">
        <v>23380.305</v>
      </c>
      <c r="H422" s="24">
        <f>E422-G422</f>
        <v/>
      </c>
      <c r="I422" s="34">
        <f>H422/1000</f>
        <v/>
      </c>
      <c r="J422" s="34">
        <f>AVERAGE(I421:I422)</f>
        <v/>
      </c>
      <c r="K422" s="25" t="n"/>
      <c r="L422" s="25" t="n"/>
      <c r="M422" s="25" t="n"/>
      <c r="N422" s="25" t="n"/>
    </row>
    <row r="423" ht="16.5" customHeight="1" s="56">
      <c r="A423" s="57" t="n">
        <v>45926</v>
      </c>
      <c r="B423" s="28" t="n">
        <v>25998.28</v>
      </c>
      <c r="C423" s="28" t="n">
        <v>25998.28</v>
      </c>
      <c r="D423" s="28" t="n">
        <v>25469.04</v>
      </c>
      <c r="E423" s="28" t="n">
        <v>25580.32</v>
      </c>
      <c r="F423" s="28" t="n">
        <v>-443.53</v>
      </c>
      <c r="G423" s="29" t="n">
        <v>23380.305</v>
      </c>
      <c r="H423" s="24">
        <f>E423-G423</f>
        <v/>
      </c>
      <c r="I423" s="34">
        <f>H423/1000</f>
        <v/>
      </c>
      <c r="J423" s="34">
        <f>AVERAGE(I422:I423)</f>
        <v/>
      </c>
      <c r="K423" s="25" t="n"/>
      <c r="L423" s="25" t="n"/>
      <c r="M423" s="25" t="n"/>
      <c r="N423" s="25" t="n"/>
    </row>
    <row r="424" ht="16.5" customHeight="1" s="56">
      <c r="A424" s="57" t="n">
        <v>45930</v>
      </c>
      <c r="B424" s="27" t="n">
        <v>25738.31</v>
      </c>
      <c r="C424" s="27" t="n">
        <v>25975.84</v>
      </c>
      <c r="D424" s="27" t="n">
        <v>25738.31</v>
      </c>
      <c r="E424" s="27" t="n">
        <v>25820.54</v>
      </c>
      <c r="F424" s="27" t="n">
        <v>240.22</v>
      </c>
      <c r="G424" s="29" t="n">
        <v>23380.305</v>
      </c>
      <c r="H424" s="24">
        <f>E424-G424</f>
        <v/>
      </c>
      <c r="I424" s="34">
        <f>H424/1000</f>
        <v/>
      </c>
      <c r="J424" s="34">
        <f>AVERAGE(I423:I424)</f>
        <v/>
      </c>
      <c r="K424" s="25" t="n"/>
      <c r="L424" s="25" t="n"/>
      <c r="M424" s="25" t="n"/>
      <c r="N424" s="25" t="n"/>
    </row>
    <row r="425" ht="16.5" customHeight="1" s="56">
      <c r="A425" s="57" t="n">
        <v>45931</v>
      </c>
      <c r="B425" s="27" t="n">
        <v>26078.29</v>
      </c>
      <c r="C425" s="27" t="n">
        <v>26325.79</v>
      </c>
      <c r="D425" s="27" t="n">
        <v>25982.91</v>
      </c>
      <c r="E425" s="27" t="n">
        <v>25982.91</v>
      </c>
      <c r="F425" s="27" t="n">
        <v>162.37</v>
      </c>
      <c r="G425" s="29" t="n">
        <v>24772.84</v>
      </c>
      <c r="H425" s="24">
        <f>E425-G425</f>
        <v/>
      </c>
      <c r="I425" s="34">
        <f>H425/1000</f>
        <v/>
      </c>
      <c r="J425" s="34">
        <f>AVERAGE(I424:I425)</f>
        <v/>
      </c>
      <c r="K425" s="25" t="n"/>
      <c r="L425" s="25" t="n"/>
      <c r="M425" s="25" t="n"/>
      <c r="N425" s="25" t="n"/>
    </row>
    <row r="426" ht="16.5" customHeight="1" s="56">
      <c r="A426" s="57" t="n">
        <v>45932</v>
      </c>
      <c r="B426" s="27" t="n">
        <v>26392.31</v>
      </c>
      <c r="C426" s="27" t="n">
        <v>26489.79</v>
      </c>
      <c r="D426" s="27" t="n">
        <v>26330.25</v>
      </c>
      <c r="E426" s="27" t="n">
        <v>26378.39</v>
      </c>
      <c r="F426" s="27" t="n">
        <v>395.48</v>
      </c>
      <c r="G426" s="29" t="n">
        <v>24772.84</v>
      </c>
      <c r="H426" s="24">
        <f>E426-G426</f>
        <v/>
      </c>
      <c r="I426" s="34">
        <f>H426/1000</f>
        <v/>
      </c>
      <c r="J426" s="34">
        <f>AVERAGE(I425:I426)</f>
        <v/>
      </c>
      <c r="K426" s="25" t="n"/>
      <c r="L426" s="25" t="n"/>
      <c r="M426" s="25" t="n"/>
      <c r="N426" s="25" t="n"/>
    </row>
    <row r="427" ht="16.5" customHeight="1" s="56">
      <c r="A427" s="57" t="n">
        <v>45933</v>
      </c>
      <c r="B427" s="27" t="n">
        <v>26435.1</v>
      </c>
      <c r="C427" s="27" t="n">
        <v>26761.06</v>
      </c>
      <c r="D427" s="27" t="n">
        <v>26410.03</v>
      </c>
      <c r="E427" s="27" t="n">
        <v>26761.06</v>
      </c>
      <c r="F427" s="27" t="n">
        <v>382.67</v>
      </c>
      <c r="G427" s="29" t="n">
        <v>24772.84</v>
      </c>
      <c r="H427" s="24">
        <f>E427-G427</f>
        <v/>
      </c>
      <c r="I427" s="34">
        <f>H427/1000</f>
        <v/>
      </c>
      <c r="J427" s="34">
        <f>AVERAGE(I426:I427)</f>
        <v/>
      </c>
      <c r="K427" s="25" t="n"/>
      <c r="L427" s="25" t="n"/>
      <c r="M427" s="25" t="n"/>
      <c r="N427" s="25" t="n"/>
    </row>
    <row r="428" ht="16.5" customHeight="1" s="56">
      <c r="A428" s="57" t="n">
        <v>45937</v>
      </c>
      <c r="B428" s="27" t="n">
        <v>27029.28</v>
      </c>
      <c r="C428" s="27" t="n">
        <v>27301.42</v>
      </c>
      <c r="D428" s="27" t="n">
        <v>27017.08</v>
      </c>
      <c r="E428" s="27" t="n">
        <v>27211.95</v>
      </c>
      <c r="F428" s="27" t="n">
        <v>450.89</v>
      </c>
      <c r="G428" s="29" t="n">
        <v>24772.84</v>
      </c>
      <c r="H428" s="24">
        <f>E428-G428</f>
        <v/>
      </c>
      <c r="I428" s="34">
        <f>H428/1000</f>
        <v/>
      </c>
      <c r="J428" s="34">
        <f>AVERAGE(I427:I428)</f>
        <v/>
      </c>
      <c r="K428" s="25" t="n"/>
      <c r="L428" s="25" t="n"/>
      <c r="M428" s="25" t="n"/>
      <c r="N428" s="25" t="n"/>
    </row>
    <row r="429" ht="16.5" customHeight="1" s="56">
      <c r="A429" s="57" t="n">
        <v>45938</v>
      </c>
      <c r="B429" s="35" t="n">
        <v>26999.82</v>
      </c>
      <c r="C429" s="35" t="n">
        <v>27110.43</v>
      </c>
      <c r="D429" s="35" t="n">
        <v>26883.99</v>
      </c>
      <c r="E429" s="35" t="n">
        <v>27063.68</v>
      </c>
      <c r="F429" s="35" t="n">
        <v>-148.27</v>
      </c>
      <c r="G429" s="29" t="n">
        <v>24772.84</v>
      </c>
      <c r="H429" s="24">
        <f>E429-G429</f>
        <v/>
      </c>
      <c r="I429" s="34">
        <f>H429/1000</f>
        <v/>
      </c>
      <c r="J429" s="34">
        <f>AVERAGE(I428:I429)</f>
        <v/>
      </c>
      <c r="K429" s="25" t="n"/>
      <c r="L429" s="25" t="n"/>
      <c r="M429" s="25" t="n"/>
      <c r="N429" s="25" t="n"/>
    </row>
    <row r="430" ht="16.5" customHeight="1" s="56">
      <c r="A430" s="57" t="n">
        <v>45939</v>
      </c>
      <c r="B430" s="36" t="n">
        <v>27301.61</v>
      </c>
      <c r="C430" s="36" t="n">
        <v>27463.12</v>
      </c>
      <c r="D430" s="36" t="n">
        <v>27253.07</v>
      </c>
      <c r="E430" s="36" t="n">
        <v>27301.92</v>
      </c>
      <c r="F430" s="36" t="n">
        <v>238.24</v>
      </c>
      <c r="G430" s="29" t="n">
        <v>24772.84</v>
      </c>
      <c r="H430" s="24">
        <f>E430-G430</f>
        <v/>
      </c>
      <c r="I430" s="34">
        <f>H430/1000</f>
        <v/>
      </c>
      <c r="J430" s="34">
        <f>AVERAGE(I429:I430)</f>
        <v/>
      </c>
      <c r="K430" s="25" t="n"/>
      <c r="L430" s="25" t="n"/>
      <c r="M430" s="25" t="n"/>
      <c r="N430" s="25" t="n"/>
    </row>
    <row r="431" ht="16.5" customHeight="1" s="56">
      <c r="A431" s="57" t="n">
        <v>45943</v>
      </c>
      <c r="B431" s="35" t="n">
        <v>26762.6</v>
      </c>
      <c r="C431" s="35" t="n">
        <v>26965.72</v>
      </c>
      <c r="D431" s="35" t="n">
        <v>26470.44</v>
      </c>
      <c r="E431" s="35" t="n">
        <v>26923.42</v>
      </c>
      <c r="F431" s="35" t="n">
        <v>-378.5</v>
      </c>
      <c r="G431" s="29" t="n">
        <v>24772.84</v>
      </c>
      <c r="H431" s="24">
        <f>E431-G431</f>
        <v/>
      </c>
      <c r="I431" s="34">
        <f>H431/1000</f>
        <v/>
      </c>
      <c r="J431" s="34">
        <f>AVERAGE(I430:I431)</f>
        <v/>
      </c>
      <c r="K431" s="25" t="n"/>
      <c r="L431" s="25" t="n"/>
      <c r="M431" s="25" t="n"/>
      <c r="N431" s="25" t="n"/>
    </row>
    <row r="432" ht="16.5" customHeight="1" s="56">
      <c r="A432" s="57" t="n">
        <v>45944</v>
      </c>
      <c r="B432" s="37" t="n">
        <v>27282.1</v>
      </c>
      <c r="C432" s="37" t="n">
        <v>27507.16</v>
      </c>
      <c r="D432" s="38" t="n">
        <v>26764.06</v>
      </c>
      <c r="E432" s="38" t="n">
        <v>26793.15</v>
      </c>
      <c r="F432" s="38" t="n">
        <v>-130.27</v>
      </c>
      <c r="G432" s="29" t="n">
        <v>24772.84</v>
      </c>
      <c r="H432" s="24">
        <f>E432-G432</f>
        <v/>
      </c>
      <c r="I432" s="34">
        <f>H432/1000</f>
        <v/>
      </c>
      <c r="J432" s="34">
        <f>AVERAGE(I431:I432)</f>
        <v/>
      </c>
      <c r="K432" s="25" t="n"/>
      <c r="L432" s="25" t="n"/>
      <c r="M432" s="25" t="n"/>
      <c r="N432" s="25" t="n"/>
    </row>
    <row r="433" ht="16.5" customHeight="1" s="56">
      <c r="A433" s="57" t="n">
        <v>45945</v>
      </c>
      <c r="B433" s="39" t="n">
        <v>26911.05</v>
      </c>
      <c r="C433" s="39" t="n">
        <v>27275.71</v>
      </c>
      <c r="D433" s="35" t="n">
        <v>26773.15</v>
      </c>
      <c r="E433" s="39" t="n">
        <v>27275.71</v>
      </c>
      <c r="F433" s="39" t="n">
        <v>482.56</v>
      </c>
      <c r="G433" s="29" t="n">
        <v>24772.84</v>
      </c>
      <c r="H433" s="24">
        <f>E433-G433</f>
        <v/>
      </c>
      <c r="I433" s="34">
        <f>H433/1000</f>
        <v/>
      </c>
      <c r="J433" s="34">
        <f>AVERAGE(I432:I433)</f>
        <v/>
      </c>
      <c r="K433" s="25" t="n"/>
      <c r="L433" s="25" t="n"/>
      <c r="M433" s="25" t="n"/>
      <c r="N433" s="25" t="n"/>
    </row>
    <row r="434" ht="16.5" customHeight="1" s="56">
      <c r="A434" s="57" t="n">
        <v>45946</v>
      </c>
      <c r="B434" s="37" t="n">
        <v>27337.32</v>
      </c>
      <c r="C434" s="37" t="n">
        <v>27732.78</v>
      </c>
      <c r="D434" s="37" t="n">
        <v>27337.32</v>
      </c>
      <c r="E434" s="37" t="n">
        <v>27647.87</v>
      </c>
      <c r="F434" s="37" t="n">
        <v>372.16</v>
      </c>
      <c r="G434" s="29" t="n">
        <v>24772.84</v>
      </c>
      <c r="H434" s="24">
        <f>E434-G434</f>
        <v/>
      </c>
      <c r="I434" s="34">
        <f>H434/1000</f>
        <v/>
      </c>
      <c r="J434" s="34">
        <f>AVERAGE(I433:I434)</f>
        <v/>
      </c>
      <c r="K434" s="25" t="n"/>
      <c r="L434" s="25" t="n"/>
      <c r="M434" s="25" t="n"/>
      <c r="N434" s="25" t="n"/>
    </row>
    <row r="435" ht="16.5" customHeight="1" s="56">
      <c r="A435" s="57" t="n">
        <v>45947</v>
      </c>
      <c r="B435" s="35" t="n">
        <v>27399.91</v>
      </c>
      <c r="C435" s="35" t="n">
        <v>27513.09</v>
      </c>
      <c r="D435" s="35" t="n">
        <v>27302.37</v>
      </c>
      <c r="E435" s="35" t="n">
        <v>27302.37</v>
      </c>
      <c r="F435" s="35" t="n">
        <v>-345.5</v>
      </c>
      <c r="G435" s="29" t="n">
        <v>24772.84</v>
      </c>
      <c r="H435" s="24">
        <f>E435-G435</f>
        <v/>
      </c>
      <c r="I435" s="34">
        <f>H435/1000</f>
        <v/>
      </c>
      <c r="J435" s="34">
        <f>AVERAGE(I434:I435)</f>
        <v/>
      </c>
      <c r="K435" s="25" t="n"/>
      <c r="L435" s="25" t="n"/>
      <c r="M435" s="25" t="n"/>
      <c r="N435" s="25" t="n"/>
    </row>
    <row r="436" ht="16.5" customHeight="1" s="56">
      <c r="A436" s="57" t="n">
        <v>45950</v>
      </c>
      <c r="B436" s="37" t="n">
        <v>27480.44</v>
      </c>
      <c r="C436" s="37" t="n">
        <v>27768.27</v>
      </c>
      <c r="D436" s="37" t="n">
        <v>27412.45</v>
      </c>
      <c r="E436" s="37" t="n">
        <v>27688.63</v>
      </c>
      <c r="F436" s="37" t="n">
        <v>386.26</v>
      </c>
      <c r="G436" s="29" t="n">
        <v>24772.84</v>
      </c>
      <c r="H436" s="24">
        <f>E436-G436</f>
        <v/>
      </c>
      <c r="I436" s="34">
        <f>H436/1000</f>
        <v/>
      </c>
      <c r="J436" s="34">
        <f>AVERAGE(I435:I436)</f>
        <v/>
      </c>
      <c r="K436" s="25" t="n"/>
      <c r="L436" s="25" t="n"/>
      <c r="M436" s="25" t="n"/>
      <c r="N436" s="25" t="n"/>
    </row>
    <row r="437" ht="16.5" customHeight="1" s="56">
      <c r="A437" s="57" t="n">
        <v>45951</v>
      </c>
      <c r="B437" s="39" t="n">
        <v>27742.55</v>
      </c>
      <c r="C437" s="39" t="n">
        <v>27969.05</v>
      </c>
      <c r="D437" s="39" t="n">
        <v>27742.55</v>
      </c>
      <c r="E437" s="39" t="n">
        <v>27752.41</v>
      </c>
      <c r="F437" s="39" t="n">
        <v>63.78</v>
      </c>
      <c r="G437" s="29" t="n">
        <v>24772.84</v>
      </c>
      <c r="H437" s="24">
        <f>E437-G437</f>
        <v/>
      </c>
      <c r="I437" s="34">
        <f>H437/1000</f>
        <v/>
      </c>
      <c r="J437" s="34">
        <f>AVERAGE(I436:I437)</f>
        <v/>
      </c>
      <c r="K437" s="25" t="n"/>
      <c r="L437" s="25" t="n"/>
      <c r="M437" s="25" t="n"/>
      <c r="N437" s="25" t="n"/>
    </row>
    <row r="438" ht="16.5" customHeight="1" s="56">
      <c r="A438" s="57" t="n">
        <v>45952</v>
      </c>
      <c r="B438" s="35" t="n">
        <v>27614.11</v>
      </c>
      <c r="C438" s="35" t="n">
        <v>27725.83</v>
      </c>
      <c r="D438" s="35" t="n">
        <v>27490.89</v>
      </c>
      <c r="E438" s="35" t="n">
        <v>27648.91</v>
      </c>
      <c r="F438" s="35" t="n">
        <v>-103.5</v>
      </c>
      <c r="G438" s="29" t="n">
        <v>24772.84</v>
      </c>
      <c r="H438" s="24">
        <f>E438-G438</f>
        <v/>
      </c>
      <c r="I438" s="34">
        <f>H438/1000</f>
        <v/>
      </c>
      <c r="J438" s="34">
        <f>AVERAGE(I437:I438)</f>
        <v/>
      </c>
      <c r="K438" s="25" t="n"/>
      <c r="L438" s="25" t="n"/>
      <c r="M438" s="25" t="n"/>
      <c r="N438" s="25" t="n"/>
    </row>
    <row r="439" ht="16.5" customHeight="1" s="56">
      <c r="A439" s="57" t="n">
        <v>45953</v>
      </c>
      <c r="B439" s="31" t="n">
        <v>27457.07</v>
      </c>
      <c r="C439" s="31" t="n">
        <v>27586.85</v>
      </c>
      <c r="D439" s="31" t="n">
        <v>27371.67</v>
      </c>
      <c r="E439" s="31" t="n">
        <v>27532.26</v>
      </c>
      <c r="F439" s="31" t="n">
        <v>-116.65</v>
      </c>
      <c r="G439" s="29" t="n">
        <v>24772.84</v>
      </c>
      <c r="H439" s="24">
        <f>E439-G439</f>
        <v/>
      </c>
      <c r="I439" s="34">
        <f>H439/1000</f>
        <v/>
      </c>
      <c r="J439" s="34">
        <f>AVERAGE(I438:I439)</f>
        <v/>
      </c>
      <c r="K439" s="25" t="n"/>
      <c r="L439" s="25" t="n"/>
      <c r="M439" s="25" t="n"/>
      <c r="N439" s="25" t="n"/>
    </row>
    <row r="440" ht="16.5" customHeight="1" s="56">
      <c r="A440" s="57" t="n">
        <v>45957</v>
      </c>
      <c r="B440" s="27" t="n">
        <v>28029.88</v>
      </c>
      <c r="C440" s="27" t="n">
        <v>28196.33</v>
      </c>
      <c r="D440" s="27" t="n">
        <v>27993.63</v>
      </c>
      <c r="E440" s="27" t="n">
        <v>27993.63</v>
      </c>
      <c r="F440" s="27" t="n">
        <v>461.37</v>
      </c>
      <c r="G440" s="29" t="n">
        <v>24772.84</v>
      </c>
      <c r="H440" s="24">
        <f>E440-G440</f>
        <v/>
      </c>
      <c r="I440" s="34">
        <f>H440/1000</f>
        <v/>
      </c>
      <c r="J440" s="34">
        <f>AVERAGE(I439:I440)</f>
        <v/>
      </c>
      <c r="K440" s="25" t="n"/>
      <c r="L440" s="25" t="n"/>
      <c r="M440" s="25" t="n"/>
      <c r="N440" s="25" t="n"/>
    </row>
    <row r="441" ht="16.5" customHeight="1" s="56">
      <c r="A441" s="57" t="n">
        <v>45958</v>
      </c>
      <c r="B441" s="37" t="n">
        <v>28041.01</v>
      </c>
      <c r="C441" s="37" t="n">
        <v>28087.93</v>
      </c>
      <c r="D441" s="38" t="n">
        <v>27885.62</v>
      </c>
      <c r="E441" s="38" t="n">
        <v>27949.11</v>
      </c>
      <c r="F441" s="38" t="n">
        <v>-44.52</v>
      </c>
      <c r="G441" s="29" t="n">
        <v>24772.84</v>
      </c>
      <c r="H441" s="24">
        <f>E441-G441</f>
        <v/>
      </c>
      <c r="I441" s="34">
        <f>H441/1000</f>
        <v/>
      </c>
      <c r="J441" s="34">
        <f>AVERAGE(I440:I441)</f>
        <v/>
      </c>
      <c r="K441" s="25" t="n"/>
      <c r="L441" s="25" t="n"/>
      <c r="M441" s="25" t="n"/>
      <c r="N441" s="25" t="n"/>
    </row>
    <row r="442" ht="16.5" customHeight="1" s="56">
      <c r="A442" s="57" t="n">
        <v>45959</v>
      </c>
      <c r="B442" s="39" t="n">
        <v>28157.91</v>
      </c>
      <c r="C442" s="39" t="n">
        <v>28395.31</v>
      </c>
      <c r="D442" s="39" t="n">
        <v>28139.65</v>
      </c>
      <c r="E442" s="39" t="n">
        <v>28294.74</v>
      </c>
      <c r="F442" s="39" t="n">
        <v>345.63</v>
      </c>
      <c r="G442" s="29" t="n">
        <v>24772.84</v>
      </c>
      <c r="H442" s="24">
        <f>E442-G442</f>
        <v/>
      </c>
      <c r="I442" s="34">
        <f>H442/1000</f>
        <v/>
      </c>
      <c r="J442" s="34">
        <f>AVERAGE(I441:I442)</f>
        <v/>
      </c>
      <c r="K442" s="25" t="n"/>
      <c r="L442" s="25" t="n"/>
      <c r="M442" s="25" t="n"/>
      <c r="N442" s="25" t="n"/>
    </row>
    <row r="443" ht="16.5" customHeight="1" s="56">
      <c r="A443" s="57" t="n">
        <v>45960</v>
      </c>
      <c r="B443" s="37" t="n">
        <v>28350.24</v>
      </c>
      <c r="C443" s="37" t="n">
        <v>28527.68</v>
      </c>
      <c r="D443" s="38" t="n">
        <v>28116.6</v>
      </c>
      <c r="E443" s="38" t="n">
        <v>28287.53</v>
      </c>
      <c r="F443" s="38" t="n">
        <v>-7.21</v>
      </c>
      <c r="G443" s="29" t="n">
        <v>24772.84</v>
      </c>
      <c r="H443" s="24">
        <f>E443-G443</f>
        <v/>
      </c>
      <c r="I443" s="34">
        <f>H443/1000</f>
        <v/>
      </c>
      <c r="J443" s="34">
        <f>AVERAGE(I442:I443)</f>
        <v/>
      </c>
      <c r="K443" s="25" t="n"/>
      <c r="L443" s="25" t="n"/>
      <c r="M443" s="25" t="n">
        <v>28280.47</v>
      </c>
      <c r="N443" s="25">
        <f>M443-$L$320</f>
        <v/>
      </c>
    </row>
    <row r="444" ht="16.5" customHeight="1" s="56">
      <c r="A444" s="57" t="n">
        <v>45961</v>
      </c>
      <c r="B444" s="35" t="n">
        <v>28280.47</v>
      </c>
      <c r="C444" s="39" t="n">
        <v>28489.76</v>
      </c>
      <c r="D444" s="35" t="n">
        <v>28233.35</v>
      </c>
      <c r="E444" s="35" t="n">
        <v>28233.35</v>
      </c>
      <c r="F444" s="35" t="n">
        <v>-54.18</v>
      </c>
      <c r="G444" s="29" t="n">
        <v>24772.84</v>
      </c>
      <c r="H444" s="24">
        <f>E444-G444</f>
        <v/>
      </c>
      <c r="I444" s="34">
        <f>H444/1000</f>
        <v/>
      </c>
      <c r="J444" s="34">
        <f>AVERAGE(I443:I444)</f>
        <v/>
      </c>
      <c r="K444" s="25" t="n"/>
      <c r="L444" s="25" t="n"/>
      <c r="M444" s="25" t="n"/>
      <c r="N444" s="25" t="n"/>
    </row>
    <row r="445" ht="16.5" customHeight="1" s="56">
      <c r="A445" s="57" t="n">
        <v>45964</v>
      </c>
      <c r="B445" s="37" t="n">
        <v>28253.53</v>
      </c>
      <c r="C445" s="37" t="n">
        <v>28494.99</v>
      </c>
      <c r="D445" s="38" t="n">
        <v>28150.45</v>
      </c>
      <c r="E445" s="37" t="n">
        <v>28334.59</v>
      </c>
      <c r="F445" s="37" t="n">
        <v>101.24</v>
      </c>
      <c r="G445" s="33" t="n">
        <v>26206.545</v>
      </c>
      <c r="H445" s="24">
        <f>E445-G445</f>
        <v/>
      </c>
      <c r="I445" s="34">
        <f>H445/1000</f>
        <v/>
      </c>
      <c r="J445" s="34">
        <f>AVERAGE(I444:I445)</f>
        <v/>
      </c>
      <c r="K445" s="25" t="n"/>
      <c r="L445" s="25" t="n"/>
      <c r="M445" s="25" t="n"/>
      <c r="N445" s="25" t="n"/>
    </row>
    <row r="446" ht="16.5" customHeight="1" s="56">
      <c r="A446" s="57" t="n">
        <v>45965</v>
      </c>
      <c r="B446" s="39" t="n">
        <v>28364.76</v>
      </c>
      <c r="C446" s="39" t="n">
        <v>28554.61</v>
      </c>
      <c r="D446" s="35" t="n">
        <v>28033.62</v>
      </c>
      <c r="E446" s="35" t="n">
        <v>28116.56</v>
      </c>
      <c r="F446" s="35" t="n">
        <v>-218.03</v>
      </c>
      <c r="G446" s="33" t="n">
        <v>26206.545</v>
      </c>
      <c r="H446" s="24">
        <f>E446-G446</f>
        <v/>
      </c>
      <c r="I446" s="34">
        <f>H446/1000</f>
        <v/>
      </c>
      <c r="J446" s="34">
        <f>AVERAGE(I445:I446)</f>
        <v/>
      </c>
      <c r="K446" s="25" t="n"/>
      <c r="L446" s="25" t="n"/>
      <c r="M446" s="25" t="n"/>
      <c r="N446" s="25" t="n"/>
    </row>
    <row r="447" ht="16.5" customHeight="1" s="56">
      <c r="A447" s="57" t="n">
        <v>45966</v>
      </c>
      <c r="B447" s="38" t="n">
        <v>27785.91</v>
      </c>
      <c r="C447" s="38" t="n">
        <v>27799.09</v>
      </c>
      <c r="D447" s="38" t="n">
        <v>27373.05</v>
      </c>
      <c r="E447" s="38" t="n">
        <v>27717.06</v>
      </c>
      <c r="F447" s="38" t="n">
        <v>-399.5</v>
      </c>
      <c r="G447" s="33" t="n">
        <v>26206.545</v>
      </c>
      <c r="H447" s="24">
        <f>E447-G447</f>
        <v/>
      </c>
      <c r="I447" s="34">
        <f>H447/1000</f>
        <v/>
      </c>
      <c r="J447" s="34">
        <f>AVERAGE(I446:I447)</f>
        <v/>
      </c>
      <c r="K447" s="25" t="n"/>
      <c r="L447" s="25" t="n"/>
      <c r="M447" s="25" t="n"/>
      <c r="N447" s="25" t="n"/>
    </row>
    <row r="448" ht="16.5" customHeight="1" s="56">
      <c r="A448" s="57" t="n">
        <v>45967</v>
      </c>
      <c r="B448" s="39" t="n">
        <v>27906.44</v>
      </c>
      <c r="C448" s="39" t="n">
        <v>28061.53</v>
      </c>
      <c r="D448" s="39" t="n">
        <v>27879.7</v>
      </c>
      <c r="E448" s="39" t="n">
        <v>27899.45</v>
      </c>
      <c r="F448" s="39" t="n">
        <v>182.39</v>
      </c>
      <c r="G448" s="33" t="n">
        <v>26206.545</v>
      </c>
      <c r="H448" s="24">
        <f>E448-G448</f>
        <v/>
      </c>
      <c r="I448" s="34">
        <f>H448/1000</f>
        <v/>
      </c>
      <c r="J448" s="34">
        <f>AVERAGE(I447:I448)</f>
        <v/>
      </c>
      <c r="K448" s="25" t="n"/>
      <c r="L448" s="25" t="n"/>
      <c r="M448" s="25" t="n"/>
      <c r="N448" s="25" t="n"/>
    </row>
    <row r="449" ht="16.5" customHeight="1" s="56">
      <c r="A449" s="57" t="n">
        <v>45968</v>
      </c>
      <c r="B449" s="38" t="n">
        <v>27818.54</v>
      </c>
      <c r="C449" s="38" t="n">
        <v>27818.54</v>
      </c>
      <c r="D449" s="38" t="n">
        <v>27621.48</v>
      </c>
      <c r="E449" s="38" t="n">
        <v>27651.41</v>
      </c>
      <c r="F449" s="38" t="n">
        <v>-248.04</v>
      </c>
      <c r="G449" s="33" t="n">
        <v>26206.545</v>
      </c>
      <c r="H449" s="24">
        <f>E449-G449</f>
        <v/>
      </c>
      <c r="I449" s="34">
        <f>H449/1000</f>
        <v/>
      </c>
      <c r="J449" s="34">
        <f>AVERAGE(I448:I449)</f>
        <v/>
      </c>
      <c r="K449" s="25" t="n"/>
      <c r="L449" s="25" t="n"/>
      <c r="M449" s="25" t="n"/>
      <c r="N449" s="25" t="n"/>
    </row>
    <row r="450" ht="16.5" customHeight="1" s="56">
      <c r="A450" s="57" t="n">
        <v>45971</v>
      </c>
      <c r="B450" s="39" t="n">
        <v>27805.47</v>
      </c>
      <c r="C450" s="39" t="n">
        <v>27976.89</v>
      </c>
      <c r="D450" s="39" t="n">
        <v>27680.51</v>
      </c>
      <c r="E450" s="39" t="n">
        <v>27869.51</v>
      </c>
      <c r="F450" s="39" t="n">
        <v>218.1</v>
      </c>
      <c r="G450" s="33" t="n">
        <v>26206.545</v>
      </c>
      <c r="H450" s="24">
        <f>E450-G450</f>
        <v/>
      </c>
      <c r="I450" s="34">
        <f>H450/1000</f>
        <v/>
      </c>
      <c r="J450" s="34">
        <f>AVERAGE(I449:I450)</f>
        <v/>
      </c>
      <c r="K450" s="25" t="n"/>
      <c r="L450" s="25" t="n"/>
      <c r="M450" s="25" t="n"/>
      <c r="N450" s="25" t="n"/>
    </row>
    <row r="451" ht="16.5" customHeight="1" s="56">
      <c r="A451" s="57" t="n">
        <v>45972</v>
      </c>
      <c r="B451" s="37" t="n">
        <v>28031.54</v>
      </c>
      <c r="C451" s="37" t="n">
        <v>28187.7</v>
      </c>
      <c r="D451" s="38" t="n">
        <v>27784.95</v>
      </c>
      <c r="E451" s="38" t="n">
        <v>27784.95</v>
      </c>
      <c r="F451" s="38" t="n">
        <v>-84.56</v>
      </c>
      <c r="G451" s="33" t="n">
        <v>26206.545</v>
      </c>
      <c r="H451" s="24">
        <f>E451-G451</f>
        <v/>
      </c>
      <c r="I451" s="34">
        <f>H451/1000</f>
        <v/>
      </c>
      <c r="J451" s="34">
        <f>AVERAGE(I450:I451)</f>
        <v/>
      </c>
      <c r="K451" s="25" t="n"/>
      <c r="L451" s="25" t="n"/>
      <c r="M451" s="25" t="n"/>
      <c r="N451" s="25" t="n"/>
    </row>
    <row r="452" ht="16.5" customHeight="1" s="56">
      <c r="A452" s="57" t="n">
        <v>45973</v>
      </c>
      <c r="B452" s="39" t="n">
        <v>27853.47</v>
      </c>
      <c r="C452" s="39" t="n">
        <v>28071.76</v>
      </c>
      <c r="D452" s="39" t="n">
        <v>27799.92</v>
      </c>
      <c r="E452" s="39" t="n">
        <v>27947.09</v>
      </c>
      <c r="F452" s="39" t="n">
        <v>162.14</v>
      </c>
      <c r="G452" s="33" t="n">
        <v>26206.545</v>
      </c>
      <c r="H452" s="24">
        <f>E452-G452</f>
        <v/>
      </c>
      <c r="I452" s="34">
        <f>H452/1000</f>
        <v/>
      </c>
      <c r="J452" s="34">
        <f>AVERAGE(I451:I452)</f>
        <v/>
      </c>
      <c r="K452" s="25" t="n"/>
      <c r="L452" s="25" t="n"/>
      <c r="M452" s="25" t="n"/>
      <c r="N452" s="25" t="n"/>
    </row>
    <row r="453" ht="16.5" customHeight="1" s="56">
      <c r="A453" s="57" t="n">
        <v>45974</v>
      </c>
      <c r="B453" s="38" t="n">
        <v>27867.59</v>
      </c>
      <c r="C453" s="37" t="n">
        <v>28038.24</v>
      </c>
      <c r="D453" s="38" t="n">
        <v>27811.81</v>
      </c>
      <c r="E453" s="38" t="n">
        <v>27903.56</v>
      </c>
      <c r="F453" s="38" t="n">
        <v>-43.53</v>
      </c>
      <c r="G453" s="33" t="n">
        <v>26206.545</v>
      </c>
      <c r="H453" s="24">
        <f>E453-G453</f>
        <v/>
      </c>
      <c r="I453" s="34">
        <f>H453/1000</f>
        <v/>
      </c>
      <c r="J453" s="34">
        <f>AVERAGE(I452:I453)</f>
        <v/>
      </c>
      <c r="K453" s="25" t="n"/>
      <c r="L453" s="25" t="n"/>
      <c r="M453" s="25" t="n"/>
      <c r="N453" s="25" t="n"/>
    </row>
    <row r="454" ht="16.5" customHeight="1" s="56">
      <c r="A454" s="57" t="n">
        <v>45975</v>
      </c>
      <c r="B454" s="35" t="n">
        <v>27816.45</v>
      </c>
      <c r="C454" s="35" t="n">
        <v>27816.45</v>
      </c>
      <c r="D454" s="35" t="n">
        <v>27383.34</v>
      </c>
      <c r="E454" s="35" t="n">
        <v>27397.5</v>
      </c>
      <c r="F454" s="35" t="n">
        <v>-506.06</v>
      </c>
      <c r="G454" s="33" t="n">
        <v>26206.545</v>
      </c>
      <c r="H454" s="24">
        <f>E454-G454</f>
        <v/>
      </c>
      <c r="I454" s="34">
        <f>H454/1000</f>
        <v/>
      </c>
      <c r="J454" s="34">
        <f>AVERAGE(I453:I454)</f>
        <v/>
      </c>
      <c r="K454" s="25" t="n"/>
      <c r="L454" s="25" t="n"/>
      <c r="M454" s="25" t="n"/>
      <c r="N454" s="25" t="n"/>
    </row>
    <row r="455" ht="16.5" customHeight="1" s="56">
      <c r="A455" s="57" t="n">
        <v>45978</v>
      </c>
      <c r="B455" s="39" t="n">
        <v>27600.74</v>
      </c>
      <c r="C455" s="39" t="n">
        <v>27723.77</v>
      </c>
      <c r="D455" s="39" t="n">
        <v>27447.31</v>
      </c>
      <c r="E455" s="39" t="n">
        <v>27447.31</v>
      </c>
      <c r="F455" s="39" t="n">
        <v>49.81</v>
      </c>
      <c r="G455" s="33" t="n">
        <v>26206.545</v>
      </c>
      <c r="H455" s="24">
        <f>E455-G455</f>
        <v/>
      </c>
      <c r="I455" s="34">
        <f>H455/1000</f>
        <v/>
      </c>
      <c r="J455" s="34">
        <f>AVERAGE(I454:I455)</f>
        <v/>
      </c>
      <c r="K455" s="25" t="n"/>
      <c r="L455" s="25" t="n"/>
      <c r="M455" s="25" t="n"/>
      <c r="N455" s="25" t="n"/>
    </row>
    <row r="456" ht="16.5" customHeight="1" s="56">
      <c r="A456" s="57" t="n">
        <v>45979</v>
      </c>
      <c r="B456" s="38" t="n">
        <v>27310.4</v>
      </c>
      <c r="C456" s="38" t="n">
        <v>27310.4</v>
      </c>
      <c r="D456" s="38" t="n">
        <v>26756.12</v>
      </c>
      <c r="E456" s="38" t="n">
        <v>26756.12</v>
      </c>
      <c r="F456" s="38" t="n">
        <v>-691.1900000000001</v>
      </c>
      <c r="G456" s="33" t="n">
        <v>26206.545</v>
      </c>
      <c r="H456" s="24">
        <f>E456-G456</f>
        <v/>
      </c>
      <c r="I456" s="34">
        <f>H456/1000</f>
        <v/>
      </c>
      <c r="J456" s="34">
        <f>AVERAGE(I455:I456)</f>
        <v/>
      </c>
      <c r="K456" s="25" t="n"/>
      <c r="L456" s="25" t="n"/>
      <c r="M456" s="25" t="n"/>
      <c r="N456" s="25" t="n"/>
    </row>
    <row r="457" ht="16.5" customHeight="1" s="56">
      <c r="A457" s="57" t="n">
        <v>45980</v>
      </c>
      <c r="B457" s="35" t="n">
        <v>26708.28</v>
      </c>
      <c r="C457" s="39" t="n">
        <v>26902.97</v>
      </c>
      <c r="D457" s="35" t="n">
        <v>26580.12</v>
      </c>
      <c r="E457" s="35" t="n">
        <v>26580.12</v>
      </c>
      <c r="F457" s="35" t="n">
        <v>-176</v>
      </c>
      <c r="G457" s="33" t="n">
        <v>26206.545</v>
      </c>
      <c r="H457" s="24">
        <f>E457-G457</f>
        <v/>
      </c>
      <c r="I457" s="34">
        <f>H457/1000</f>
        <v/>
      </c>
      <c r="J457" s="34">
        <f>AVERAGE(I456:I457)</f>
        <v/>
      </c>
      <c r="K457" s="25" t="n"/>
      <c r="L457" s="25" t="n"/>
      <c r="M457" s="25" t="n"/>
      <c r="N457" s="25" t="n"/>
    </row>
    <row r="458" ht="16.5" customHeight="1" s="56">
      <c r="A458" s="57" t="n">
        <v>45981</v>
      </c>
      <c r="B458" s="36" t="n">
        <v>27212.91</v>
      </c>
      <c r="C458" s="36" t="n">
        <v>27493.63</v>
      </c>
      <c r="D458" s="36" t="n">
        <v>27183.03</v>
      </c>
      <c r="E458" s="36" t="n">
        <v>27426.36</v>
      </c>
      <c r="F458" s="36" t="n">
        <v>846.24</v>
      </c>
      <c r="G458" s="33" t="n">
        <v>26206.545</v>
      </c>
      <c r="H458" s="24">
        <f>E458-G458</f>
        <v/>
      </c>
      <c r="I458" s="34">
        <f>H458/1000</f>
        <v/>
      </c>
      <c r="J458" s="34">
        <f>AVERAGE(I457:I458)</f>
        <v/>
      </c>
      <c r="K458" s="25" t="n"/>
      <c r="L458" s="25" t="n"/>
      <c r="M458" s="25" t="n"/>
      <c r="N458" s="25" t="n"/>
    </row>
    <row r="459" ht="16.5" customHeight="1" s="56">
      <c r="A459" s="57" t="n">
        <v>45982</v>
      </c>
      <c r="B459" s="38" t="n">
        <v>26821.97</v>
      </c>
      <c r="C459" s="38" t="n">
        <v>26821.97</v>
      </c>
      <c r="D459" s="38" t="n">
        <v>26395.98</v>
      </c>
      <c r="E459" s="38" t="n">
        <v>26434.94</v>
      </c>
      <c r="F459" s="38" t="n">
        <v>-991.42</v>
      </c>
      <c r="G459" s="33" t="n">
        <v>26206.545</v>
      </c>
      <c r="H459" s="24">
        <f>E459-G459</f>
        <v/>
      </c>
      <c r="I459" s="34">
        <f>H459/1000</f>
        <v/>
      </c>
      <c r="J459" s="34">
        <f>AVERAGE(I458:I459)</f>
        <v/>
      </c>
      <c r="K459" s="25" t="n"/>
      <c r="L459" s="25" t="n"/>
      <c r="M459" s="25" t="n"/>
      <c r="N459" s="25" t="n"/>
    </row>
    <row r="460" ht="16.5" customHeight="1" s="56">
      <c r="A460" s="57" t="n">
        <v>45985</v>
      </c>
      <c r="B460" s="39" t="n">
        <v>26596.03</v>
      </c>
      <c r="C460" s="39" t="n">
        <v>26764.13</v>
      </c>
      <c r="D460" s="39" t="n">
        <v>26482.33</v>
      </c>
      <c r="E460" s="39" t="n">
        <v>26504.24</v>
      </c>
      <c r="F460" s="39" t="n">
        <v>69.3</v>
      </c>
      <c r="G460" s="33" t="n">
        <v>26206.545</v>
      </c>
      <c r="H460" s="24">
        <f>E460-G460</f>
        <v/>
      </c>
      <c r="I460" s="34">
        <f>H460/1000</f>
        <v/>
      </c>
      <c r="J460" s="34">
        <f>AVERAGE(I459:I460)</f>
        <v/>
      </c>
      <c r="K460" s="25" t="n"/>
      <c r="L460" s="25" t="n"/>
      <c r="M460" s="25" t="n"/>
      <c r="N460" s="25" t="n"/>
    </row>
    <row r="461" ht="16.5" customHeight="1" s="56">
      <c r="A461" s="57" t="n">
        <v>45986</v>
      </c>
      <c r="B461" s="36" t="n">
        <v>26995.9</v>
      </c>
      <c r="C461" s="36" t="n">
        <v>27118.02</v>
      </c>
      <c r="D461" s="36" t="n">
        <v>26793.71</v>
      </c>
      <c r="E461" s="36" t="n">
        <v>26912.17</v>
      </c>
      <c r="F461" s="36" t="n">
        <v>407.93</v>
      </c>
      <c r="G461" s="33" t="n">
        <v>26206.545</v>
      </c>
      <c r="H461" s="24">
        <f>E461-G461</f>
        <v/>
      </c>
      <c r="I461" s="34">
        <f>H461/1000</f>
        <v/>
      </c>
      <c r="J461" s="34">
        <f>AVERAGE(I460:I461)</f>
        <v/>
      </c>
      <c r="K461" s="25" t="n"/>
      <c r="L461" s="25" t="n"/>
      <c r="M461" s="25" t="n"/>
      <c r="N461" s="25" t="n"/>
    </row>
    <row r="462" ht="16.5" customHeight="1" s="56">
      <c r="A462" s="57" t="n">
        <v>45987</v>
      </c>
      <c r="B462" s="36" t="n">
        <v>27063.17</v>
      </c>
      <c r="C462" s="36" t="n">
        <v>27409.54</v>
      </c>
      <c r="D462" s="36" t="n">
        <v>27063.17</v>
      </c>
      <c r="E462" s="36" t="n">
        <v>27409.54</v>
      </c>
      <c r="F462" s="36" t="n">
        <v>497.37</v>
      </c>
      <c r="G462" s="33" t="n">
        <v>26206.545</v>
      </c>
      <c r="H462" s="24">
        <f>E462-G462</f>
        <v/>
      </c>
      <c r="I462" s="34">
        <f>H462/1000</f>
        <v/>
      </c>
      <c r="J462" s="34">
        <f>AVERAGE(I461:I462)</f>
        <v/>
      </c>
      <c r="K462" s="25" t="n"/>
      <c r="L462" s="25" t="n"/>
      <c r="M462" s="25" t="n"/>
      <c r="N462" s="25" t="n"/>
    </row>
    <row r="463" ht="16.5" customHeight="1" s="56">
      <c r="A463" s="57" t="n">
        <v>45988</v>
      </c>
      <c r="B463" s="36" t="n">
        <v>27517.24</v>
      </c>
      <c r="C463" s="36" t="n">
        <v>27659.06</v>
      </c>
      <c r="D463" s="36" t="n">
        <v>27436.59</v>
      </c>
      <c r="E463" s="36" t="n">
        <v>27554.53</v>
      </c>
      <c r="F463" s="36" t="n">
        <v>144.99</v>
      </c>
      <c r="G463" s="33" t="n">
        <v>26206.545</v>
      </c>
      <c r="H463" s="24">
        <f>E463-G463</f>
        <v/>
      </c>
      <c r="I463" s="34">
        <f>H463/1000</f>
        <v/>
      </c>
      <c r="J463" s="34">
        <f>AVERAGE(I462:I463)</f>
        <v/>
      </c>
      <c r="K463" s="25" t="n"/>
      <c r="L463" s="25" t="n"/>
      <c r="M463" s="25" t="n"/>
      <c r="N463" s="25" t="n"/>
    </row>
    <row r="464" ht="16.5" customHeight="1" s="56">
      <c r="A464" s="57" t="n">
        <v>45989</v>
      </c>
      <c r="B464" s="37" t="n">
        <v>27566.12</v>
      </c>
      <c r="C464" s="37" t="n">
        <v>27796.9</v>
      </c>
      <c r="D464" s="37" t="n">
        <v>27566.12</v>
      </c>
      <c r="E464" s="37" t="n">
        <v>27626.48</v>
      </c>
      <c r="F464" s="37" t="n">
        <v>71.95</v>
      </c>
      <c r="G464" s="33" t="n">
        <v>26206.545</v>
      </c>
      <c r="H464" s="24">
        <f>E464-G464</f>
        <v/>
      </c>
      <c r="I464" s="34">
        <f>H464/1000</f>
        <v/>
      </c>
      <c r="J464" s="34">
        <f>AVERAGE(I463:I464)</f>
        <v/>
      </c>
      <c r="K464" s="25" t="n"/>
      <c r="L464" s="25" t="n"/>
      <c r="M464" s="25" t="n"/>
      <c r="N464" s="25" t="n"/>
    </row>
    <row r="465" ht="16.5" customHeight="1" s="56">
      <c r="A465" s="57" t="n">
        <v>45992</v>
      </c>
      <c r="B465" s="39" t="n">
        <v>27674.16</v>
      </c>
      <c r="C465" s="39" t="n">
        <v>27697.06</v>
      </c>
      <c r="D465" s="35" t="n">
        <v>27342.53</v>
      </c>
      <c r="E465" s="35" t="n">
        <v>27342.53</v>
      </c>
      <c r="F465" s="35" t="n">
        <v>-283.95</v>
      </c>
      <c r="G465" s="33" t="n">
        <v>27268.76</v>
      </c>
      <c r="H465" s="24">
        <f>E465-G465</f>
        <v/>
      </c>
      <c r="I465" s="34">
        <f>H465/1000</f>
        <v/>
      </c>
      <c r="J465" s="34">
        <f>AVERAGE(I464:I465)</f>
        <v/>
      </c>
      <c r="K465" s="25" t="n"/>
      <c r="L465" s="25" t="n"/>
      <c r="M465" s="25" t="n"/>
      <c r="N465" s="25" t="n"/>
    </row>
    <row r="466" ht="16.5" customHeight="1" s="56">
      <c r="A466" s="57" t="n">
        <v>45993</v>
      </c>
      <c r="B466" s="36" t="n">
        <v>27550.35</v>
      </c>
      <c r="C466" s="36" t="n">
        <v>27741.89</v>
      </c>
      <c r="D466" s="36" t="n">
        <v>27477.1</v>
      </c>
      <c r="E466" s="36" t="n">
        <v>27564.27</v>
      </c>
      <c r="F466" s="36" t="n">
        <v>221.74</v>
      </c>
      <c r="G466" s="33" t="n">
        <v>27268.76</v>
      </c>
      <c r="H466" s="24">
        <f>E466-G466</f>
        <v/>
      </c>
      <c r="I466" s="34">
        <f>H466/1000</f>
        <v/>
      </c>
      <c r="J466" s="34">
        <f>AVERAGE(I465:I466)</f>
        <v/>
      </c>
      <c r="K466" s="25" t="n"/>
      <c r="L466" s="25" t="n"/>
      <c r="M466" s="25" t="n"/>
      <c r="N466" s="25" t="n"/>
    </row>
    <row r="467" ht="16.5" customHeight="1" s="56">
      <c r="A467" s="57" t="n">
        <v>45994</v>
      </c>
      <c r="B467" s="39" t="n">
        <v>27605.63</v>
      </c>
      <c r="C467" s="39" t="n">
        <v>27847.67</v>
      </c>
      <c r="D467" s="39" t="n">
        <v>27605.63</v>
      </c>
      <c r="E467" s="39" t="n">
        <v>27793.04</v>
      </c>
      <c r="F467" s="39" t="n">
        <v>228.77</v>
      </c>
      <c r="G467" s="33" t="n">
        <v>27268.76</v>
      </c>
      <c r="H467" s="24">
        <f>E467-G467</f>
        <v/>
      </c>
      <c r="I467" s="34">
        <f>H467/1000</f>
        <v/>
      </c>
      <c r="J467" s="34">
        <f>AVERAGE(I466:I467)</f>
        <v/>
      </c>
      <c r="K467" s="25" t="n"/>
      <c r="L467" s="25" t="n"/>
      <c r="M467" s="25" t="n"/>
      <c r="N467" s="25" t="n"/>
    </row>
    <row r="468" ht="16.5" customHeight="1" s="56">
      <c r="A468" s="57" t="n">
        <v>45995</v>
      </c>
      <c r="B468" s="38" t="n">
        <v>27773.42</v>
      </c>
      <c r="C468" s="37" t="n">
        <v>27880.23</v>
      </c>
      <c r="D468" s="38" t="n">
        <v>27636.63</v>
      </c>
      <c r="E468" s="37" t="n">
        <v>27795.71</v>
      </c>
      <c r="F468" s="37" t="n">
        <v>2.67</v>
      </c>
      <c r="G468" s="33" t="n">
        <v>27268.76</v>
      </c>
      <c r="H468" s="24">
        <f>E468-G468</f>
        <v/>
      </c>
      <c r="I468" s="34">
        <f>H468/1000</f>
        <v/>
      </c>
      <c r="J468" s="34">
        <f>AVERAGE(I467:I468)</f>
        <v/>
      </c>
      <c r="K468" s="25" t="n"/>
      <c r="L468" s="25" t="n"/>
      <c r="M468" s="25" t="n"/>
      <c r="N468" s="25" t="n"/>
    </row>
    <row r="469" ht="16.5" customHeight="1" s="56">
      <c r="A469" s="57" t="n">
        <v>45996</v>
      </c>
      <c r="B469" s="36" t="n">
        <v>27796.43</v>
      </c>
      <c r="C469" s="36" t="n">
        <v>27980.89</v>
      </c>
      <c r="D469" s="40" t="n">
        <v>27738.5</v>
      </c>
      <c r="E469" s="36" t="n">
        <v>27980.89</v>
      </c>
      <c r="F469" s="36" t="n">
        <v>185.18</v>
      </c>
      <c r="G469" s="33" t="n">
        <v>27268.76</v>
      </c>
      <c r="H469" s="24">
        <f>E469-G469</f>
        <v/>
      </c>
      <c r="I469" s="34">
        <f>H469/1000</f>
        <v/>
      </c>
      <c r="J469" s="34">
        <f>AVERAGE(I468:I469)</f>
        <v/>
      </c>
      <c r="K469" s="25" t="n"/>
      <c r="L469" s="25" t="n"/>
      <c r="M469" s="25" t="n"/>
      <c r="N469" s="25" t="n"/>
    </row>
    <row r="470" ht="16.5" customHeight="1" s="56">
      <c r="A470" s="57" t="n">
        <v>45999</v>
      </c>
      <c r="B470" s="37" t="n">
        <v>28034</v>
      </c>
      <c r="C470" s="37" t="n">
        <v>28303.78</v>
      </c>
      <c r="D470" s="37" t="n">
        <v>28026.39</v>
      </c>
      <c r="E470" s="37" t="n">
        <v>28303.78</v>
      </c>
      <c r="F470" s="37" t="n">
        <v>322.89</v>
      </c>
      <c r="G470" s="33" t="n">
        <v>27268.76</v>
      </c>
      <c r="H470" s="24">
        <f>E470-G470</f>
        <v/>
      </c>
      <c r="I470" s="34">
        <f>H470/1000</f>
        <v/>
      </c>
      <c r="J470" s="34">
        <f>AVERAGE(I469:I470)</f>
        <v/>
      </c>
      <c r="K470" s="25" t="n"/>
      <c r="L470" s="25" t="n"/>
      <c r="M470" s="25" t="n"/>
      <c r="N470" s="25" t="n"/>
    </row>
    <row r="471" ht="16.5" customHeight="1" s="56">
      <c r="A471" s="57" t="n">
        <v>46000</v>
      </c>
      <c r="B471" s="39" t="n">
        <v>28364.04</v>
      </c>
      <c r="C471" s="39" t="n">
        <v>28390.24</v>
      </c>
      <c r="D471" s="35" t="n">
        <v>28157.27</v>
      </c>
      <c r="E471" s="35" t="n">
        <v>28182.6</v>
      </c>
      <c r="F471" s="35" t="n">
        <v>-121.18</v>
      </c>
      <c r="G471" s="33" t="n">
        <v>27268.76</v>
      </c>
      <c r="H471" s="24">
        <f>E471-G471</f>
        <v/>
      </c>
      <c r="I471" s="34">
        <f>H471/1000</f>
        <v/>
      </c>
      <c r="J471" s="34">
        <f>AVERAGE(I470:I471)</f>
        <v/>
      </c>
      <c r="K471" s="25" t="n"/>
      <c r="L471" s="25" t="n"/>
      <c r="M471" s="25" t="n"/>
      <c r="N471" s="25" t="n"/>
    </row>
    <row r="472" ht="16.5" customHeight="1" s="56">
      <c r="A472" s="57" t="n">
        <v>46001</v>
      </c>
      <c r="B472" s="36" t="n">
        <v>28190.76</v>
      </c>
      <c r="C472" s="36" t="n">
        <v>28417.09</v>
      </c>
      <c r="D472" s="36" t="n">
        <v>28190.76</v>
      </c>
      <c r="E472" s="36" t="n">
        <v>28400.73</v>
      </c>
      <c r="F472" s="36" t="n">
        <v>218.13</v>
      </c>
      <c r="G472" s="33" t="n">
        <v>27268.76</v>
      </c>
      <c r="H472" s="24">
        <f>E472-G472</f>
        <v/>
      </c>
      <c r="I472" s="34">
        <f>H472/1000</f>
        <v/>
      </c>
      <c r="J472" s="34">
        <f>AVERAGE(I471:I472)</f>
        <v/>
      </c>
      <c r="K472" s="25" t="n"/>
      <c r="L472" s="25" t="n"/>
      <c r="M472" s="25" t="n"/>
      <c r="N472" s="25" t="n"/>
    </row>
    <row r="473" ht="16.5" customHeight="1" s="56">
      <c r="A473" s="57" t="n">
        <v>46002</v>
      </c>
      <c r="B473" s="35" t="n">
        <v>28385.23</v>
      </c>
      <c r="C473" s="39" t="n">
        <v>28568.02</v>
      </c>
      <c r="D473" s="35" t="n">
        <v>27984.19</v>
      </c>
      <c r="E473" s="35" t="n">
        <v>28024.75</v>
      </c>
      <c r="F473" s="35" t="n">
        <v>-375.98</v>
      </c>
      <c r="G473" s="33" t="n">
        <v>27268.76</v>
      </c>
      <c r="H473" s="24">
        <f>E473-G473</f>
        <v/>
      </c>
      <c r="I473" s="34">
        <f>H473/1000</f>
        <v/>
      </c>
      <c r="J473" s="34">
        <f>AVERAGE(I472:I473)</f>
        <v/>
      </c>
      <c r="K473" s="25" t="n"/>
      <c r="L473" s="25" t="n"/>
      <c r="M473" s="25" t="n"/>
      <c r="N473" s="25" t="n"/>
    </row>
    <row r="474" ht="16.5" customHeight="1" s="56">
      <c r="A474" s="57" t="n">
        <v>46003</v>
      </c>
      <c r="B474" s="37" t="n">
        <v>28097.54</v>
      </c>
      <c r="C474" s="37" t="n">
        <v>28272.06</v>
      </c>
      <c r="D474" s="37" t="n">
        <v>28071.34</v>
      </c>
      <c r="E474" s="37" t="n">
        <v>28198.02</v>
      </c>
      <c r="F474" s="37" t="n">
        <v>173.27</v>
      </c>
      <c r="G474" s="33" t="n">
        <v>27268.76</v>
      </c>
      <c r="H474" s="24">
        <f>E474-G474</f>
        <v/>
      </c>
      <c r="I474" s="34">
        <f>H474/1000</f>
        <v/>
      </c>
      <c r="J474" s="34">
        <f>AVERAGE(I473:I474)</f>
        <v/>
      </c>
      <c r="K474" s="25" t="n"/>
      <c r="L474" s="25" t="n"/>
      <c r="M474" s="25" t="n"/>
      <c r="N474" s="25" t="n"/>
    </row>
    <row r="475" ht="16.5" customHeight="1" s="56">
      <c r="A475" s="57" t="n">
        <v>46006</v>
      </c>
      <c r="B475" s="35" t="n">
        <v>28119.79</v>
      </c>
      <c r="C475" s="35" t="n">
        <v>28119.79</v>
      </c>
      <c r="D475" s="35" t="n">
        <v>27684.87</v>
      </c>
      <c r="E475" s="35" t="n">
        <v>27866.94</v>
      </c>
      <c r="F475" s="35" t="n">
        <v>-331.08</v>
      </c>
      <c r="G475" s="33" t="n">
        <v>27268.76</v>
      </c>
      <c r="H475" s="24">
        <f>E475-G475</f>
        <v/>
      </c>
      <c r="I475" s="34">
        <f>H475/1000</f>
        <v/>
      </c>
      <c r="J475" s="34">
        <f>AVERAGE(I474:I475)</f>
        <v/>
      </c>
      <c r="K475" s="25" t="n"/>
      <c r="L475" s="25" t="n"/>
      <c r="M475" s="25" t="n"/>
      <c r="N475" s="25" t="n"/>
    </row>
    <row r="476" ht="16.5" customHeight="1" s="56">
      <c r="A476" s="57" t="n">
        <v>46007</v>
      </c>
      <c r="B476" s="38" t="n">
        <v>27721.1</v>
      </c>
      <c r="C476" s="38" t="n">
        <v>27740.66</v>
      </c>
      <c r="D476" s="38" t="n">
        <v>27355.67</v>
      </c>
      <c r="E476" s="38" t="n">
        <v>27536.66</v>
      </c>
      <c r="F476" s="38" t="n">
        <v>-330.28</v>
      </c>
      <c r="G476" s="33" t="n">
        <v>27268.76</v>
      </c>
      <c r="H476" s="24">
        <f>E476-G476</f>
        <v/>
      </c>
      <c r="I476" s="34">
        <f>H476/1000</f>
        <v/>
      </c>
      <c r="J476" s="34">
        <f>AVERAGE(I475:I476)</f>
        <v/>
      </c>
      <c r="K476" s="25" t="n"/>
      <c r="L476" s="25" t="n"/>
      <c r="M476" s="25" t="n"/>
      <c r="N476" s="25" t="n"/>
    </row>
    <row r="477" ht="16.5" customHeight="1" s="56">
      <c r="A477" s="57" t="n">
        <v>46008</v>
      </c>
      <c r="B477" s="39" t="n">
        <v>27596.18</v>
      </c>
      <c r="C477" s="39" t="n">
        <v>27780.69</v>
      </c>
      <c r="D477" s="35" t="n">
        <v>27469.6</v>
      </c>
      <c r="E477" s="35" t="n">
        <v>27525.17</v>
      </c>
      <c r="F477" s="35" t="n">
        <v>-11.49</v>
      </c>
      <c r="G477" s="33" t="n">
        <v>27268.76</v>
      </c>
      <c r="H477" s="24">
        <f>E477-G477</f>
        <v/>
      </c>
      <c r="I477" s="34">
        <f>H477/1000</f>
        <v/>
      </c>
      <c r="J477" s="34">
        <f>AVERAGE(I476:I477)</f>
        <v/>
      </c>
      <c r="K477" s="25" t="n"/>
      <c r="L477" s="25" t="n"/>
      <c r="M477" s="25" t="n"/>
      <c r="N477" s="25" t="n"/>
    </row>
    <row r="478" ht="16.5" customHeight="1" s="56">
      <c r="A478" s="57" t="n">
        <v>46009</v>
      </c>
      <c r="B478" s="38" t="n">
        <v>27447.45</v>
      </c>
      <c r="C478" s="37" t="n">
        <v>27569.44</v>
      </c>
      <c r="D478" s="38" t="n">
        <v>27350.77</v>
      </c>
      <c r="E478" s="38" t="n">
        <v>27468.53</v>
      </c>
      <c r="F478" s="38" t="n">
        <v>-56.64</v>
      </c>
      <c r="G478" s="33" t="n">
        <v>27268.76</v>
      </c>
      <c r="H478" s="24">
        <f>E478-G478</f>
        <v/>
      </c>
      <c r="I478" s="34">
        <f>H478/1000</f>
        <v/>
      </c>
      <c r="J478" s="34">
        <f>AVERAGE(I477:I478)</f>
        <v/>
      </c>
      <c r="K478" s="25" t="n"/>
      <c r="L478" s="25" t="n"/>
      <c r="M478" s="25" t="n"/>
      <c r="N478" s="25" t="n"/>
    </row>
    <row r="479" ht="16.5" customHeight="1" s="56">
      <c r="A479" s="57" t="n">
        <v>46010</v>
      </c>
      <c r="B479" s="39" t="n">
        <v>27685.74</v>
      </c>
      <c r="C479" s="39" t="n">
        <v>27869.78</v>
      </c>
      <c r="D479" s="39" t="n">
        <v>27672.05</v>
      </c>
      <c r="E479" s="39" t="n">
        <v>27696.35</v>
      </c>
      <c r="F479" s="39" t="n">
        <v>227.82</v>
      </c>
      <c r="G479" s="33" t="n">
        <v>27268.76</v>
      </c>
      <c r="H479" s="24">
        <f>E479-G479</f>
        <v/>
      </c>
      <c r="I479" s="34">
        <f>H479/1000</f>
        <v/>
      </c>
      <c r="J479" s="34">
        <f>AVERAGE(I478:I479)</f>
        <v/>
      </c>
      <c r="K479" s="25" t="n"/>
      <c r="L479" s="25" t="n"/>
      <c r="M479" s="25" t="n"/>
      <c r="N479" s="25" t="n"/>
    </row>
    <row r="480" ht="16.5" customHeight="1" s="56">
      <c r="A480" s="57" t="n">
        <v>46013</v>
      </c>
      <c r="B480" s="37" t="n">
        <v>27986.66</v>
      </c>
      <c r="C480" s="37" t="n">
        <v>28168.75</v>
      </c>
      <c r="D480" s="37" t="n">
        <v>27986.66</v>
      </c>
      <c r="E480" s="37" t="n">
        <v>28149.64</v>
      </c>
      <c r="F480" s="37" t="n">
        <v>453.29</v>
      </c>
      <c r="G480" s="33" t="n">
        <v>27268.76</v>
      </c>
      <c r="H480" s="24">
        <f>E480-G480</f>
        <v/>
      </c>
      <c r="I480" s="34">
        <f>H480/1000</f>
        <v/>
      </c>
      <c r="J480" s="34">
        <f>AVERAGE(I479:I480)</f>
        <v/>
      </c>
      <c r="K480" s="25" t="n"/>
      <c r="L480" s="25" t="n"/>
      <c r="M480" s="25" t="n"/>
      <c r="N480" s="25" t="n"/>
    </row>
    <row r="481" ht="16.5" customHeight="1" s="56">
      <c r="A481" s="57" t="n">
        <v>46014</v>
      </c>
      <c r="B481" s="39" t="n">
        <v>28253.14</v>
      </c>
      <c r="C481" s="39" t="n">
        <v>28350.37</v>
      </c>
      <c r="D481" s="39" t="n">
        <v>28212.84</v>
      </c>
      <c r="E481" s="39" t="n">
        <v>28310.47</v>
      </c>
      <c r="F481" s="39" t="n">
        <v>160.83</v>
      </c>
      <c r="G481" s="33" t="n">
        <v>27268.76</v>
      </c>
      <c r="H481" s="24">
        <f>E481-G481</f>
        <v/>
      </c>
      <c r="I481" s="34">
        <f>H481/1000</f>
        <v/>
      </c>
      <c r="J481" s="34">
        <f>AVERAGE(I480:I481)</f>
        <v/>
      </c>
      <c r="K481" s="25" t="n"/>
      <c r="L481" s="25" t="n"/>
      <c r="M481" s="25" t="n"/>
      <c r="N481" s="25" t="n"/>
    </row>
    <row r="482" ht="16.5" customHeight="1" s="56">
      <c r="A482" s="57" t="n">
        <v>46015</v>
      </c>
      <c r="B482" s="37" t="n">
        <v>28383.61</v>
      </c>
      <c r="C482" s="37" t="n">
        <v>28486.38</v>
      </c>
      <c r="D482" s="38" t="n">
        <v>28280.59</v>
      </c>
      <c r="E482" s="37" t="n">
        <v>28371.98</v>
      </c>
      <c r="F482" s="37" t="n">
        <v>61.51</v>
      </c>
      <c r="G482" s="33" t="n">
        <v>27268.76</v>
      </c>
      <c r="H482" s="24">
        <f>E482-G482</f>
        <v/>
      </c>
      <c r="I482" s="34">
        <f>H482/1000</f>
        <v/>
      </c>
      <c r="J482" s="34">
        <f>AVERAGE(I481:I482)</f>
        <v/>
      </c>
      <c r="K482" s="25" t="n"/>
      <c r="L482" s="25" t="n"/>
      <c r="M482" s="25" t="n"/>
      <c r="N482" s="25" t="n"/>
    </row>
    <row r="483" ht="16.5" customHeight="1" s="56">
      <c r="A483" s="57" t="n">
        <v>46017</v>
      </c>
      <c r="B483" s="39" t="n">
        <v>28443.48</v>
      </c>
      <c r="C483" s="39" t="n">
        <v>28590.91</v>
      </c>
      <c r="D483" s="39" t="n">
        <v>28404.34</v>
      </c>
      <c r="E483" s="39" t="n">
        <v>28556.02</v>
      </c>
      <c r="F483" s="39" t="n">
        <v>184.04</v>
      </c>
      <c r="G483" s="33" t="n">
        <v>27268.76</v>
      </c>
      <c r="H483" s="24">
        <f>E483-G483</f>
        <v/>
      </c>
      <c r="I483" s="34">
        <f>H483/1000</f>
        <v/>
      </c>
      <c r="J483" s="34">
        <f>AVERAGE(I482:I483)</f>
        <v/>
      </c>
      <c r="K483" s="25" t="n"/>
      <c r="L483" s="25" t="n"/>
      <c r="M483" s="25" t="n"/>
      <c r="N483" s="25" t="n"/>
    </row>
    <row r="484" ht="16.5" customHeight="1" s="56">
      <c r="A484" s="57" t="n">
        <v>46020</v>
      </c>
      <c r="B484" s="37" t="n">
        <v>28662.79</v>
      </c>
      <c r="C484" s="37" t="n">
        <v>28841.64</v>
      </c>
      <c r="D484" s="37" t="n">
        <v>28595.35</v>
      </c>
      <c r="E484" s="37" t="n">
        <v>28810.89</v>
      </c>
      <c r="F484" s="37" t="n">
        <v>254.87</v>
      </c>
      <c r="G484" s="33" t="n">
        <v>27268.76</v>
      </c>
      <c r="H484" s="24">
        <f>E484-G484</f>
        <v/>
      </c>
      <c r="I484" s="34">
        <f>H484/1000</f>
        <v/>
      </c>
      <c r="J484" s="34">
        <f>AVERAGE(I483:I484)</f>
        <v/>
      </c>
      <c r="K484" s="25" t="n"/>
      <c r="L484" s="25" t="n"/>
      <c r="M484" s="25" t="n"/>
      <c r="N484" s="25" t="n"/>
    </row>
    <row r="485" ht="16.5" customHeight="1" s="56">
      <c r="A485" s="57" t="n">
        <v>46021</v>
      </c>
      <c r="B485" s="35" t="n">
        <v>28723.82</v>
      </c>
      <c r="C485" s="39" t="n">
        <v>28833.03</v>
      </c>
      <c r="D485" s="35" t="n">
        <v>28553.64</v>
      </c>
      <c r="E485" s="35" t="n">
        <v>28707.13</v>
      </c>
      <c r="F485" s="35" t="n">
        <v>-103.76</v>
      </c>
      <c r="G485" s="33" t="n">
        <v>27268.76</v>
      </c>
      <c r="H485" s="24">
        <f>E485-G485</f>
        <v/>
      </c>
      <c r="I485" s="34">
        <f>H485/1000</f>
        <v/>
      </c>
      <c r="J485" s="34">
        <f>AVERAGE(I484:I485)</f>
        <v/>
      </c>
      <c r="K485" s="25" t="n"/>
      <c r="L485" s="25" t="n"/>
      <c r="M485" s="25" t="n"/>
      <c r="N485" s="25" t="n"/>
    </row>
    <row r="486" ht="16.5" customHeight="1" s="56">
      <c r="A486" s="57" t="n">
        <v>46022</v>
      </c>
      <c r="B486" s="36" t="n">
        <v>28723.49</v>
      </c>
      <c r="C486" s="36" t="n">
        <v>29009.81</v>
      </c>
      <c r="D486" s="40" t="n">
        <v>28687.9</v>
      </c>
      <c r="E486" s="36" t="n">
        <v>28963.6</v>
      </c>
      <c r="F486" s="36" t="n">
        <v>256.47</v>
      </c>
      <c r="G486" s="33" t="n">
        <v>27268.76</v>
      </c>
      <c r="H486" s="24">
        <f>E486-G486</f>
        <v/>
      </c>
      <c r="I486" s="34">
        <f>H486/1000</f>
        <v/>
      </c>
      <c r="J486" s="34">
        <f>AVERAGE(I485:I486)</f>
        <v/>
      </c>
      <c r="K486" s="25" t="n"/>
      <c r="L486" s="25" t="n"/>
      <c r="M486" s="25" t="n"/>
      <c r="N486" s="25" t="n"/>
    </row>
    <row r="487" ht="16.5" customHeight="1" s="56">
      <c r="A487" s="57" t="n">
        <v>46024</v>
      </c>
      <c r="B487" s="39" t="n">
        <v>29016.68</v>
      </c>
      <c r="C487" s="39" t="n">
        <v>29363.43</v>
      </c>
      <c r="D487" s="39" t="n">
        <v>29007.75</v>
      </c>
      <c r="E487" s="39" t="n">
        <v>29349.81</v>
      </c>
      <c r="F487" s="39" t="n">
        <v>386.21</v>
      </c>
      <c r="G487" s="29" t="n">
        <v>27702.895</v>
      </c>
      <c r="H487" s="24">
        <f>E487-G487</f>
        <v/>
      </c>
      <c r="I487" s="34">
        <f>H487/1000</f>
        <v/>
      </c>
      <c r="J487" s="34">
        <f>AVERAGE(I462:I487)</f>
        <v/>
      </c>
      <c r="K487" s="25" t="n"/>
      <c r="L487" s="25" t="n"/>
      <c r="M487" s="25" t="n"/>
      <c r="N487" s="25" t="n"/>
    </row>
    <row r="488" ht="16.5" customHeight="1" s="56">
      <c r="A488" s="57" t="n">
        <v>46027</v>
      </c>
      <c r="B488" s="36" t="n">
        <v>29779.7</v>
      </c>
      <c r="C488" s="36" t="n">
        <v>30339.32</v>
      </c>
      <c r="D488" s="36" t="n">
        <v>29779.7</v>
      </c>
      <c r="E488" s="36" t="n">
        <v>30105.04</v>
      </c>
      <c r="F488" s="36" t="n">
        <v>755.23</v>
      </c>
      <c r="G488" s="29" t="n">
        <v>27702.895</v>
      </c>
      <c r="H488" s="24">
        <f>E488-G488</f>
        <v/>
      </c>
      <c r="I488" s="34">
        <f>H488/1000</f>
        <v/>
      </c>
      <c r="J488" s="34">
        <f>AVERAGE(I487:I488)</f>
        <v/>
      </c>
      <c r="K488" s="25" t="n"/>
      <c r="L488" s="25" t="n"/>
      <c r="M488" s="25" t="n"/>
      <c r="N488" s="25" t="n"/>
    </row>
    <row r="489" ht="16.5" customHeight="1" s="56">
      <c r="A489" s="57" t="n">
        <v>46028</v>
      </c>
      <c r="B489" s="40" t="n">
        <v>29933.65</v>
      </c>
      <c r="C489" s="36" t="n">
        <v>30576.3</v>
      </c>
      <c r="D489" s="40" t="n">
        <v>29933.65</v>
      </c>
      <c r="E489" s="36" t="n">
        <v>30576.3</v>
      </c>
      <c r="F489" s="36" t="n">
        <v>471.26</v>
      </c>
      <c r="G489" s="29" t="n">
        <v>27702.895</v>
      </c>
      <c r="H489" s="24">
        <f>E489-G489</f>
        <v/>
      </c>
      <c r="I489" s="34">
        <f>H489/1000</f>
        <v/>
      </c>
      <c r="J489" s="34">
        <f>AVERAGE(I488:I489)</f>
        <v/>
      </c>
      <c r="K489" s="25" t="n"/>
      <c r="L489" s="25" t="n"/>
      <c r="M489" s="25" t="n"/>
      <c r="N489" s="25" t="n"/>
    </row>
    <row r="490" ht="16.5" customHeight="1" s="56">
      <c r="A490" s="57" t="n">
        <v>46029</v>
      </c>
      <c r="B490" s="35" t="n">
        <v>30412.32</v>
      </c>
      <c r="C490" s="35" t="n">
        <v>30570.26</v>
      </c>
      <c r="D490" s="35" t="n">
        <v>30306.16</v>
      </c>
      <c r="E490" s="35" t="n">
        <v>30435.47</v>
      </c>
      <c r="F490" s="35" t="n">
        <v>-140.83</v>
      </c>
      <c r="G490" s="29" t="n">
        <v>27702.895</v>
      </c>
      <c r="H490" s="24">
        <f>E490-G490</f>
        <v/>
      </c>
      <c r="I490" s="34">
        <f>H490/1000</f>
        <v/>
      </c>
      <c r="J490" s="34">
        <f>AVERAGE(I489:I490)</f>
        <v/>
      </c>
      <c r="K490" s="25" t="n"/>
      <c r="L490" s="25" t="n"/>
      <c r="M490" s="25" t="n"/>
      <c r="N490" s="25" t="n"/>
    </row>
    <row r="491" ht="16.5" customHeight="1" s="56">
      <c r="A491" s="57" t="n">
        <v>46030</v>
      </c>
      <c r="B491" s="40" t="n">
        <v>30330.58</v>
      </c>
      <c r="C491" s="36" t="n">
        <v>30593.49</v>
      </c>
      <c r="D491" s="40" t="n">
        <v>30268.36</v>
      </c>
      <c r="E491" s="40" t="n">
        <v>30360.55</v>
      </c>
      <c r="F491" s="40" t="n">
        <v>-74.92</v>
      </c>
      <c r="G491" s="29" t="n">
        <v>27702.895</v>
      </c>
      <c r="H491" s="24">
        <f>E491-G491</f>
        <v/>
      </c>
      <c r="I491" s="34">
        <f>H491/1000</f>
        <v/>
      </c>
      <c r="J491" s="34">
        <f>AVERAGE(I490:I491)</f>
        <v/>
      </c>
      <c r="K491" s="25" t="n"/>
      <c r="L491" s="25" t="n"/>
      <c r="M491" s="25" t="n"/>
      <c r="N491" s="25" t="n"/>
    </row>
    <row r="492" ht="16.5" customHeight="1" s="56">
      <c r="A492" s="57" t="n">
        <v>46031</v>
      </c>
      <c r="B492" s="39" t="n">
        <v>30370.45</v>
      </c>
      <c r="C492" s="39" t="n">
        <v>30500.42</v>
      </c>
      <c r="D492" s="35" t="n">
        <v>29925.49</v>
      </c>
      <c r="E492" s="35" t="n">
        <v>30288.96</v>
      </c>
      <c r="F492" s="35" t="n">
        <v>-71.59</v>
      </c>
      <c r="G492" s="29" t="n">
        <v>27702.895</v>
      </c>
      <c r="H492" s="24">
        <f>E492-G492</f>
        <v/>
      </c>
      <c r="I492" s="34">
        <f>H492/1000</f>
        <v/>
      </c>
      <c r="J492" s="34">
        <f>AVERAGE(I491:I492)</f>
        <v/>
      </c>
      <c r="K492" s="25" t="n"/>
      <c r="L492" s="25" t="n"/>
      <c r="M492" s="25" t="n"/>
      <c r="N492" s="25" t="n"/>
    </row>
    <row r="493" ht="16.5" customHeight="1" s="56">
      <c r="A493" s="57" t="n">
        <v>46032</v>
      </c>
      <c r="B493" s="36" t="n">
        <v>30472.7</v>
      </c>
      <c r="C493" s="36" t="n">
        <v>30681.99</v>
      </c>
      <c r="D493" s="36" t="n">
        <v>30472.7</v>
      </c>
      <c r="E493" s="36" t="n">
        <v>30567.29</v>
      </c>
      <c r="F493" s="36" t="n">
        <v>278.33</v>
      </c>
      <c r="G493" s="29" t="n">
        <v>27702.895</v>
      </c>
      <c r="H493" s="24">
        <f>E493-G493</f>
        <v/>
      </c>
      <c r="I493" s="34">
        <f>H493/1000</f>
        <v/>
      </c>
      <c r="J493" s="34">
        <f>AVERAGE(I492:I493)</f>
        <v/>
      </c>
      <c r="K493" s="25" t="n"/>
      <c r="L493" s="25" t="n"/>
      <c r="M493" s="25" t="n"/>
      <c r="N493" s="25" t="n"/>
    </row>
    <row r="494" ht="16.5" customHeight="1" s="56">
      <c r="A494" s="57" t="n">
        <v>46033</v>
      </c>
      <c r="B494" s="36" t="n">
        <v>30630.86</v>
      </c>
      <c r="C494" s="36" t="n">
        <v>30973.85</v>
      </c>
      <c r="D494" s="40" t="n">
        <v>30529.33</v>
      </c>
      <c r="E494" s="36" t="n">
        <v>30707.22</v>
      </c>
      <c r="F494" s="36" t="n">
        <v>139.93</v>
      </c>
      <c r="G494" s="29" t="n">
        <v>27702.895</v>
      </c>
      <c r="H494" s="24">
        <f>E494-G494</f>
        <v/>
      </c>
      <c r="I494" s="34">
        <f>H494/1000</f>
        <v/>
      </c>
      <c r="J494" s="34">
        <f>AVERAGE(I493:I494)</f>
        <v/>
      </c>
      <c r="K494" s="25" t="n"/>
      <c r="L494" s="25" t="n"/>
      <c r="M494" s="25" t="n"/>
      <c r="N494" s="25" t="n"/>
    </row>
    <row r="495" ht="16.5" customHeight="1" s="56">
      <c r="A495" s="57" t="n">
        <v>46036</v>
      </c>
      <c r="B495" s="25" t="n">
        <v>30472.7</v>
      </c>
      <c r="C495" s="25" t="n">
        <v>30681.99</v>
      </c>
      <c r="D495" s="25" t="n">
        <v>30472.7</v>
      </c>
      <c r="E495" s="25" t="n">
        <v>30567.29</v>
      </c>
      <c r="F495" s="25" t="n">
        <v>278.33</v>
      </c>
      <c r="G495" s="29" t="n">
        <v>27702.895</v>
      </c>
      <c r="H495" s="24">
        <f>E495-G495</f>
        <v/>
      </c>
      <c r="I495" s="34">
        <f>H495/1000</f>
        <v/>
      </c>
      <c r="J495" s="34">
        <f>AVERAGE(I494:I495)</f>
        <v/>
      </c>
      <c r="K495" s="25" t="n"/>
      <c r="L495" s="25" t="n"/>
      <c r="M495" s="25" t="n"/>
      <c r="N495" s="25" t="n"/>
    </row>
    <row r="496" ht="16.5" customHeight="1" s="56">
      <c r="A496" s="57" t="n">
        <v>46037</v>
      </c>
      <c r="B496" s="25" t="n">
        <v>30630.86</v>
      </c>
      <c r="C496" s="25" t="n">
        <v>30973.85</v>
      </c>
      <c r="D496" s="25" t="n">
        <v>30529.33</v>
      </c>
      <c r="E496" s="25" t="n">
        <v>30707.22</v>
      </c>
      <c r="F496" s="25" t="n">
        <v>139.93</v>
      </c>
      <c r="G496" s="41" t="n">
        <v>27702.895</v>
      </c>
      <c r="H496" s="24">
        <f>E496-G496</f>
        <v/>
      </c>
      <c r="I496" s="34">
        <f>H496/1000</f>
        <v/>
      </c>
      <c r="J496" s="34">
        <f>AVERAGE(I495:I496)</f>
        <v/>
      </c>
      <c r="K496" s="25" t="n"/>
      <c r="L496" s="25" t="n"/>
      <c r="M496" s="25" t="n"/>
      <c r="N496" s="25" t="n"/>
    </row>
    <row r="497" ht="16.5" customHeight="1" s="56">
      <c r="A497" s="57" t="n">
        <v>46038</v>
      </c>
      <c r="B497" s="25" t="n">
        <v>30742.53</v>
      </c>
      <c r="C497" s="25" t="n">
        <v>30994.81</v>
      </c>
      <c r="D497" s="25" t="n">
        <v>30742.53</v>
      </c>
      <c r="E497" s="25" t="n">
        <v>30941.78</v>
      </c>
      <c r="F497" s="25" t="n">
        <v>234.56</v>
      </c>
      <c r="G497" s="41" t="n">
        <v>27702.895</v>
      </c>
      <c r="H497" s="24">
        <f>E497-G497</f>
        <v/>
      </c>
      <c r="I497" s="34">
        <f>H497/1000</f>
        <v/>
      </c>
      <c r="J497" s="34">
        <f>AVERAGE(I496:I497)</f>
        <v/>
      </c>
      <c r="K497" s="25" t="n"/>
      <c r="L497" s="25" t="n"/>
      <c r="M497" s="25" t="n"/>
      <c r="N497" s="25" t="n"/>
    </row>
    <row r="498" ht="16.5" customHeight="1" s="56">
      <c r="A498" s="57" t="n">
        <v>46039</v>
      </c>
      <c r="B498" s="25" t="n">
        <v>30746.98</v>
      </c>
      <c r="C498" s="25" t="n">
        <v>30877.31</v>
      </c>
      <c r="D498" s="25" t="n">
        <v>30663.87</v>
      </c>
      <c r="E498" s="25" t="n">
        <v>30810.58</v>
      </c>
      <c r="F498" s="25" t="n">
        <v>-131.2</v>
      </c>
      <c r="G498" s="41" t="n">
        <v>27702.895</v>
      </c>
      <c r="H498" s="24">
        <f>E498-G498</f>
        <v/>
      </c>
      <c r="I498" s="34">
        <f>H498/1000</f>
        <v/>
      </c>
      <c r="J498" s="34">
        <f>AVERAGE(I497:I498)</f>
        <v/>
      </c>
      <c r="K498" s="25" t="n"/>
      <c r="L498" s="25" t="n"/>
      <c r="M498" s="25" t="n"/>
      <c r="N498" s="25" t="n"/>
    </row>
    <row r="499" ht="16.5" customHeight="1" s="56">
      <c r="A499" s="57" t="n">
        <v>46040</v>
      </c>
      <c r="B499" s="25" t="n">
        <v>30844.63</v>
      </c>
      <c r="C499" s="25" t="n">
        <v>31475.22</v>
      </c>
      <c r="D499" s="25" t="n">
        <v>30844.63</v>
      </c>
      <c r="E499" s="25" t="n">
        <v>31408.7</v>
      </c>
      <c r="F499" s="25" t="n">
        <v>598.12</v>
      </c>
      <c r="G499" s="29" t="n">
        <v>27702.895</v>
      </c>
      <c r="H499" s="24">
        <f>E499-G499</f>
        <v/>
      </c>
      <c r="I499" s="34">
        <f>H499/1000</f>
        <v/>
      </c>
      <c r="J499" s="34">
        <f>AVERAGE(I498:I499)</f>
        <v/>
      </c>
      <c r="K499" s="25" t="n"/>
      <c r="L499" s="25" t="n"/>
      <c r="M499" s="25" t="n"/>
      <c r="N499" s="25" t="n"/>
    </row>
    <row r="500" ht="16.5" customHeight="1" s="56">
      <c r="A500" s="57" t="n">
        <v>46041</v>
      </c>
      <c r="B500" s="25" t="n">
        <v>31336.77</v>
      </c>
      <c r="C500" s="25" t="n">
        <v>31827.39</v>
      </c>
      <c r="D500" s="25" t="n">
        <v>31285.53</v>
      </c>
      <c r="E500" s="25" t="n">
        <v>31639.29</v>
      </c>
      <c r="F500" s="25" t="n">
        <v>230.59</v>
      </c>
      <c r="G500" s="29" t="n">
        <v>27702.895</v>
      </c>
      <c r="H500" s="24">
        <f>E500-G500</f>
        <v/>
      </c>
      <c r="I500" s="34">
        <f>H500/1000</f>
        <v/>
      </c>
      <c r="J500" s="34">
        <f>AVERAGE(I499:I500)</f>
        <v/>
      </c>
      <c r="K500" s="25" t="n"/>
      <c r="L500" s="25" t="n"/>
      <c r="M500" s="25" t="n"/>
      <c r="N500" s="25" t="n"/>
    </row>
    <row r="501" ht="16.5" customHeight="1" s="56">
      <c r="A501" s="57" t="n">
        <v>46042</v>
      </c>
      <c r="B501" s="35" t="n">
        <v>31584.34</v>
      </c>
      <c r="C501" s="39" t="n">
        <v>31759.99</v>
      </c>
      <c r="D501" s="35" t="n">
        <v>31340.1</v>
      </c>
      <c r="E501" s="39" t="n">
        <v>31759.99</v>
      </c>
      <c r="F501" s="39" t="n">
        <v>120.7</v>
      </c>
      <c r="G501" s="29" t="n">
        <v>27702.895</v>
      </c>
      <c r="H501" s="24">
        <f>E501-G501</f>
        <v/>
      </c>
      <c r="I501" s="34">
        <f>H501/1000</f>
        <v/>
      </c>
      <c r="J501" s="34">
        <f>AVERAGE(I500:I501)</f>
        <v/>
      </c>
      <c r="K501" s="25" t="n"/>
      <c r="L501" s="25" t="n"/>
      <c r="M501" s="25" t="n"/>
      <c r="N501" s="25" t="n"/>
    </row>
    <row r="502" ht="16.5" customHeight="1" s="56">
      <c r="A502" s="57" t="n">
        <v>46043</v>
      </c>
      <c r="B502" s="38" t="n">
        <v>31749.14</v>
      </c>
      <c r="C502" s="38" t="n">
        <v>31749.14</v>
      </c>
      <c r="D502" s="38" t="n">
        <v>31200.76</v>
      </c>
      <c r="E502" s="38" t="n">
        <v>31246.37</v>
      </c>
      <c r="F502" s="38" t="n">
        <v>-513.62</v>
      </c>
      <c r="G502" s="29" t="n">
        <v>27702.895</v>
      </c>
      <c r="H502" s="24">
        <f>E502-G502</f>
        <v/>
      </c>
      <c r="I502" s="34">
        <f>H502/1000</f>
        <v/>
      </c>
      <c r="J502" s="34">
        <f>AVERAGE(I501:I502)</f>
        <v/>
      </c>
      <c r="K502" s="25" t="n"/>
      <c r="L502" s="25" t="n"/>
      <c r="M502" s="25" t="n"/>
      <c r="N502" s="25" t="n"/>
    </row>
    <row r="503" ht="16.5" customHeight="1" s="56">
      <c r="A503" s="57" t="n">
        <v>46044</v>
      </c>
      <c r="B503" s="36" t="n">
        <v>31371.13</v>
      </c>
      <c r="C503" s="36" t="n">
        <v>31890.62</v>
      </c>
      <c r="D503" s="36" t="n">
        <v>31371.13</v>
      </c>
      <c r="E503" s="36" t="n">
        <v>31746.08</v>
      </c>
      <c r="F503" s="36" t="n">
        <v>499.71</v>
      </c>
      <c r="G503" s="29" t="n">
        <v>27702.895</v>
      </c>
      <c r="H503" s="24">
        <f>E503-G503</f>
        <v/>
      </c>
      <c r="I503" s="34">
        <f>H503/1000</f>
        <v/>
      </c>
      <c r="J503" s="34">
        <f>AVERAGE(I502:I503)</f>
        <v/>
      </c>
      <c r="K503" s="25" t="n"/>
      <c r="L503" s="25" t="n"/>
      <c r="M503" s="25" t="n"/>
      <c r="N503" s="25" t="n"/>
    </row>
    <row r="504" ht="16.5" customHeight="1" s="56">
      <c r="A504" s="57" t="n">
        <v>46045</v>
      </c>
      <c r="B504" s="37" t="n">
        <v>31788.77</v>
      </c>
      <c r="C504" s="37" t="n">
        <v>32042.44</v>
      </c>
      <c r="D504" s="38" t="n">
        <v>31693.15</v>
      </c>
      <c r="E504" s="37" t="n">
        <v>31961.51</v>
      </c>
      <c r="F504" s="37" t="n">
        <v>215.43</v>
      </c>
      <c r="G504" s="29" t="n">
        <v>27702.895</v>
      </c>
      <c r="H504" s="24">
        <f>E504-G504</f>
        <v/>
      </c>
      <c r="I504" s="34">
        <f>H504/1000</f>
        <v/>
      </c>
      <c r="J504" s="34">
        <f>AVERAGE(I503:I504)</f>
        <v/>
      </c>
      <c r="K504" s="25" t="n"/>
      <c r="L504" s="25" t="n"/>
      <c r="M504" s="25" t="n"/>
      <c r="N504" s="25" t="n"/>
    </row>
    <row r="505" ht="16.5" customHeight="1" s="56">
      <c r="A505" s="57" t="n">
        <v>46048</v>
      </c>
      <c r="B505" s="36" t="n">
        <v>32002.56</v>
      </c>
      <c r="C505" s="36" t="n">
        <v>32196.75</v>
      </c>
      <c r="D505" s="36" t="n">
        <v>31989.86</v>
      </c>
      <c r="E505" s="36" t="n">
        <v>32064.52</v>
      </c>
      <c r="F505" s="36" t="n">
        <v>103.01</v>
      </c>
      <c r="G505" s="29" t="n">
        <v>27702.895</v>
      </c>
      <c r="H505" s="24">
        <f>E505-G505</f>
        <v/>
      </c>
      <c r="I505" s="34">
        <f>H505/1000</f>
        <v/>
      </c>
      <c r="J505" s="34">
        <f>AVERAGE(I504:I505)</f>
        <v/>
      </c>
      <c r="K505" s="25" t="n"/>
      <c r="L505" s="25" t="n"/>
      <c r="M505" s="25" t="n"/>
      <c r="N505" s="25" t="n"/>
    </row>
    <row r="506" ht="16.5" customHeight="1" s="56">
      <c r="A506" s="57" t="n">
        <v>46049</v>
      </c>
      <c r="B506" s="37" t="n">
        <v>32095.08</v>
      </c>
      <c r="C506" s="37" t="n">
        <v>32428.17</v>
      </c>
      <c r="D506" s="37" t="n">
        <v>32095.08</v>
      </c>
      <c r="E506" s="37" t="n">
        <v>32317.92</v>
      </c>
      <c r="F506" s="37" t="n">
        <v>253.4</v>
      </c>
      <c r="G506" s="29" t="n">
        <v>27702.895</v>
      </c>
      <c r="H506" s="24">
        <f>E506-G506</f>
        <v/>
      </c>
      <c r="I506" s="34">
        <f>H506/1000</f>
        <v/>
      </c>
      <c r="J506" s="34">
        <f>AVERAGE(I505:I506)</f>
        <v/>
      </c>
      <c r="K506" s="25" t="n"/>
      <c r="L506" s="25" t="n"/>
      <c r="M506" s="25" t="n"/>
      <c r="N506" s="25" t="n"/>
    </row>
    <row r="507" ht="16.5" customHeight="1" s="56">
      <c r="A507" s="57" t="n">
        <v>46050</v>
      </c>
      <c r="B507" s="39" t="n">
        <v>32381.76</v>
      </c>
      <c r="C507" s="39" t="n">
        <v>32803.82</v>
      </c>
      <c r="D507" s="39" t="n">
        <v>32381.76</v>
      </c>
      <c r="E507" s="39" t="n">
        <v>32803.82</v>
      </c>
      <c r="F507" s="39" t="n">
        <v>485.9</v>
      </c>
      <c r="G507" s="29" t="n">
        <v>27702.895</v>
      </c>
      <c r="H507" s="24">
        <f>E507-G507</f>
        <v/>
      </c>
      <c r="I507" s="34">
        <f>H507/1000</f>
        <v/>
      </c>
      <c r="J507" s="34">
        <f>AVERAGE(I506:I507)</f>
        <v/>
      </c>
      <c r="K507" s="25" t="n"/>
      <c r="L507" s="25" t="n"/>
      <c r="M507" s="25" t="n"/>
      <c r="N507" s="25" t="n"/>
    </row>
    <row r="508" ht="16.5" customHeight="1" s="56">
      <c r="A508" s="57" t="n">
        <v>46051</v>
      </c>
      <c r="B508" s="36" t="n">
        <v>32828.02</v>
      </c>
      <c r="C508" s="36" t="n">
        <v>32996.03</v>
      </c>
      <c r="D508" s="40" t="n">
        <v>32472.45</v>
      </c>
      <c r="E508" s="40" t="n">
        <v>32536.27</v>
      </c>
      <c r="F508" s="40" t="n">
        <v>-267.55</v>
      </c>
      <c r="G508" s="29" t="n">
        <v>27702.895</v>
      </c>
      <c r="H508" s="24">
        <f>E508-G508</f>
        <v/>
      </c>
      <c r="I508" s="34">
        <f>H508/1000</f>
        <v/>
      </c>
      <c r="J508" s="34">
        <f>AVERAGE(I507:I508)</f>
        <v/>
      </c>
      <c r="K508" s="25" t="n"/>
      <c r="L508" s="25" t="n"/>
      <c r="M508" s="25" t="n"/>
      <c r="N508" s="25" t="n"/>
    </row>
    <row r="509" ht="16.5" customHeight="1" s="56">
      <c r="A509" s="57" t="n">
        <v>46052</v>
      </c>
      <c r="B509" s="39" t="n">
        <v>32555.52</v>
      </c>
      <c r="C509" s="39" t="n">
        <v>32555.52</v>
      </c>
      <c r="D509" s="35" t="n">
        <v>32004.96</v>
      </c>
      <c r="E509" s="35" t="n">
        <v>32063.75</v>
      </c>
      <c r="F509" s="35" t="n">
        <v>-472.52</v>
      </c>
      <c r="G509" s="29" t="n">
        <v>27702.895</v>
      </c>
      <c r="H509" s="24">
        <f>E509-G509</f>
        <v/>
      </c>
      <c r="I509" s="34">
        <f>H509/1000</f>
        <v/>
      </c>
      <c r="J509" s="34">
        <f>AVERAGE(I508:I509)</f>
        <v/>
      </c>
      <c r="K509" s="25" t="n"/>
      <c r="L509" s="25" t="n"/>
      <c r="M509" s="25" t="n"/>
      <c r="N509" s="25" t="n"/>
    </row>
    <row r="510" ht="16.5" customHeight="1" s="56">
      <c r="A510" s="57" t="n">
        <v>46055</v>
      </c>
      <c r="B510" s="38" t="n">
        <v>32008.46</v>
      </c>
      <c r="C510" s="38" t="n">
        <v>32008.46</v>
      </c>
      <c r="D510" s="38" t="n">
        <v>31359.95</v>
      </c>
      <c r="E510" s="38" t="n">
        <v>31624.03</v>
      </c>
      <c r="F510" s="38" t="n">
        <v>-439.72</v>
      </c>
      <c r="G510" s="25" t="n">
        <v>30169.28</v>
      </c>
      <c r="H510" s="24">
        <f>E510-G510</f>
        <v/>
      </c>
      <c r="I510" s="34">
        <f>H510/1000</f>
        <v/>
      </c>
      <c r="J510" s="34">
        <f>AVERAGE(I509:I510)</f>
        <v/>
      </c>
      <c r="K510" s="25" t="n"/>
      <c r="L510" s="25" t="n"/>
      <c r="M510" s="25" t="n"/>
      <c r="N510" s="25" t="n"/>
    </row>
    <row r="511" ht="16.5" customHeight="1" s="56">
      <c r="A511" s="57" t="n">
        <v>46056</v>
      </c>
      <c r="B511" s="36" t="n">
        <v>31737.66</v>
      </c>
      <c r="C511" s="36" t="n">
        <v>32293.83</v>
      </c>
      <c r="D511" s="36" t="n">
        <v>31737.66</v>
      </c>
      <c r="E511" s="36" t="n">
        <v>32195.36</v>
      </c>
      <c r="F511" s="36" t="n">
        <v>571.33</v>
      </c>
      <c r="G511" s="25" t="n">
        <v>30169.28</v>
      </c>
      <c r="H511" s="24">
        <f>E511-G511</f>
        <v/>
      </c>
      <c r="I511" s="34">
        <f>H511/1000</f>
        <v/>
      </c>
      <c r="J511" s="34">
        <f>AVERAGE(I510:I511)</f>
        <v/>
      </c>
      <c r="K511" s="25" t="n"/>
      <c r="L511" s="25" t="n"/>
      <c r="M511" s="25" t="n"/>
      <c r="N511" s="25" t="n"/>
    </row>
    <row r="512" ht="16.5" customHeight="1" s="56">
      <c r="A512" s="57" t="n">
        <v>46057</v>
      </c>
      <c r="B512" s="37" t="n">
        <v>32196.57</v>
      </c>
      <c r="C512" s="37" t="n">
        <v>32380</v>
      </c>
      <c r="D512" s="38" t="n">
        <v>31942.28</v>
      </c>
      <c r="E512" s="37" t="n">
        <v>32289.81</v>
      </c>
      <c r="F512" s="37" t="n">
        <v>94.45</v>
      </c>
      <c r="G512" s="25" t="n">
        <v>30169.28</v>
      </c>
      <c r="H512" s="24">
        <f>E512-G512</f>
        <v/>
      </c>
      <c r="I512" s="34">
        <f>H512/1000</f>
        <v/>
      </c>
      <c r="J512" s="34">
        <f>AVERAGE(I511:I512)</f>
        <v/>
      </c>
      <c r="K512" s="25" t="n"/>
      <c r="L512" s="25" t="n"/>
      <c r="M512" s="25" t="n"/>
      <c r="N512" s="25" t="n"/>
    </row>
    <row r="513" ht="16.5" customHeight="1" s="56">
      <c r="A513" s="57" t="n">
        <v>46058</v>
      </c>
      <c r="B513" s="35" t="n">
        <v>32241.64</v>
      </c>
      <c r="C513" s="35" t="n">
        <v>32241.64</v>
      </c>
      <c r="D513" s="35" t="n">
        <v>31769.08</v>
      </c>
      <c r="E513" s="35" t="n">
        <v>31801.27</v>
      </c>
      <c r="F513" s="35" t="n">
        <v>-488.54</v>
      </c>
      <c r="G513" s="25" t="n">
        <v>30169.28</v>
      </c>
      <c r="H513" s="24">
        <f>E513-G513</f>
        <v/>
      </c>
      <c r="I513" s="34">
        <f>H513/1000</f>
        <v/>
      </c>
      <c r="J513" s="34">
        <f>AVERAGE(I512:I513)</f>
        <v/>
      </c>
      <c r="K513" s="25" t="n"/>
      <c r="L513" s="25" t="n"/>
      <c r="M513" s="25" t="n"/>
      <c r="N513" s="25" t="n"/>
    </row>
    <row r="514" ht="16.5" customHeight="1" s="56">
      <c r="A514" s="57" t="n">
        <v>46059</v>
      </c>
      <c r="B514" s="38" t="n">
        <v>31746.44</v>
      </c>
      <c r="C514" s="37" t="n">
        <v>31842.62</v>
      </c>
      <c r="D514" s="38" t="n">
        <v>31164.28</v>
      </c>
      <c r="E514" s="38" t="n">
        <v>31782.92</v>
      </c>
      <c r="F514" s="38" t="n">
        <v>-18.35</v>
      </c>
      <c r="G514" s="25" t="n">
        <v>30169.28</v>
      </c>
      <c r="H514" s="24">
        <f>E514-G514</f>
        <v/>
      </c>
      <c r="I514" s="34">
        <f>H514/1000</f>
        <v/>
      </c>
      <c r="J514" s="34">
        <f>AVERAGE(I513:I514)</f>
        <v/>
      </c>
      <c r="K514" s="25" t="n"/>
      <c r="L514" s="25" t="n"/>
      <c r="M514" s="25" t="n"/>
      <c r="N514" s="25" t="n"/>
    </row>
    <row r="515" ht="16.5" customHeight="1" s="56">
      <c r="A515" s="57" t="n">
        <v>46062</v>
      </c>
      <c r="B515" s="39" t="n">
        <v>31956.21</v>
      </c>
      <c r="C515" s="39" t="n">
        <v>32666.05</v>
      </c>
      <c r="D515" s="39" t="n">
        <v>31956.21</v>
      </c>
      <c r="E515" s="39" t="n">
        <v>32404.62</v>
      </c>
      <c r="F515" s="39" t="n">
        <v>621.7</v>
      </c>
      <c r="G515" s="25" t="n">
        <v>30169.28</v>
      </c>
      <c r="H515" s="24">
        <f>E515-G515</f>
        <v/>
      </c>
      <c r="I515" s="34">
        <f>H515/1000</f>
        <v/>
      </c>
      <c r="J515" s="34">
        <f>AVERAGE(I514:I515)</f>
        <v/>
      </c>
      <c r="K515" s="25" t="n"/>
      <c r="L515" s="25" t="n"/>
      <c r="M515" s="25" t="n"/>
      <c r="N515" s="25" t="n"/>
    </row>
    <row r="516" ht="16.5" customHeight="1" s="56">
      <c r="A516" s="57" t="n">
        <v>46063</v>
      </c>
      <c r="B516" s="37" t="n">
        <v>32439.71</v>
      </c>
      <c r="C516" s="37" t="n">
        <v>33072.97</v>
      </c>
      <c r="D516" s="37" t="n">
        <v>32439.71</v>
      </c>
      <c r="E516" s="37" t="n">
        <v>33072.97</v>
      </c>
      <c r="F516" s="37" t="n">
        <v>668.35</v>
      </c>
      <c r="G516" s="25" t="n">
        <v>30169.28</v>
      </c>
      <c r="H516" s="24">
        <f>E516-G516</f>
        <v/>
      </c>
      <c r="I516" s="34">
        <f>H516/1000</f>
        <v/>
      </c>
      <c r="J516" s="34">
        <f>AVERAGE(I515:I516)</f>
        <v/>
      </c>
      <c r="K516" s="25" t="n"/>
      <c r="L516" s="25" t="n"/>
      <c r="M516" s="25" t="n"/>
      <c r="N516" s="25" t="n"/>
    </row>
    <row r="517" ht="16.5" customHeight="1" s="56">
      <c r="A517" s="57" t="n">
        <v>46064</v>
      </c>
      <c r="B517" s="39" t="n">
        <v>33086.15</v>
      </c>
      <c r="C517" s="39" t="n">
        <v>33707.83</v>
      </c>
      <c r="D517" s="35" t="n">
        <v>33071.67</v>
      </c>
      <c r="E517" s="39" t="n">
        <v>33605.71</v>
      </c>
      <c r="F517" s="39" t="n">
        <v>532.74</v>
      </c>
      <c r="G517" s="25" t="n">
        <v>30169.28</v>
      </c>
      <c r="H517" s="24">
        <f>E517-G517</f>
        <v/>
      </c>
      <c r="I517" s="34">
        <f>H517/1000</f>
        <v/>
      </c>
      <c r="J517" s="34">
        <f>AVERAGE(I516:I517)</f>
        <v/>
      </c>
      <c r="K517" s="25" t="n"/>
      <c r="L517" s="25" t="n"/>
      <c r="M517" s="25" t="n"/>
      <c r="N517" s="25" t="n"/>
    </row>
    <row r="518" ht="16.5" customHeight="1" s="56">
      <c r="A518" s="57" t="n">
        <v>46076</v>
      </c>
      <c r="B518" s="37" t="n">
        <v>33663.02</v>
      </c>
      <c r="C518" s="37" t="n">
        <v>34212.38</v>
      </c>
      <c r="D518" s="37" t="n">
        <v>33663.02</v>
      </c>
      <c r="E518" s="37" t="n">
        <v>33773.26</v>
      </c>
      <c r="F518" s="37" t="n">
        <v>167.55</v>
      </c>
      <c r="G518" s="25" t="n">
        <v>30169.28</v>
      </c>
      <c r="H518" s="24">
        <f>E518-G518</f>
        <v/>
      </c>
      <c r="I518" s="34">
        <f>H518/1000</f>
        <v/>
      </c>
      <c r="J518" s="34">
        <f>AVERAGE(I517:I518)</f>
        <v/>
      </c>
      <c r="K518" s="25" t="n"/>
      <c r="L518" s="25" t="n"/>
      <c r="M518" s="25" t="n"/>
      <c r="N518" s="25" t="n"/>
    </row>
    <row r="519" ht="16.5" customHeight="1" s="56">
      <c r="A519" s="57" t="n">
        <v>46077</v>
      </c>
      <c r="B519" s="39" t="n">
        <v>34020.71</v>
      </c>
      <c r="C519" s="39" t="n">
        <v>34786.42</v>
      </c>
      <c r="D519" s="39" t="n">
        <v>33987.51</v>
      </c>
      <c r="E519" s="39" t="n">
        <v>34700.82</v>
      </c>
      <c r="F519" s="39" t="n">
        <v>927.5599999999999</v>
      </c>
      <c r="G519" s="25" t="n">
        <v>30169.28</v>
      </c>
      <c r="H519" s="24">
        <f>E519-G519</f>
        <v/>
      </c>
      <c r="I519" s="34">
        <f>H519/1000</f>
        <v/>
      </c>
      <c r="J519" s="34">
        <f>AVERAGE(I518:I519)</f>
        <v/>
      </c>
      <c r="K519" s="25" t="n"/>
      <c r="L519" s="25" t="n"/>
      <c r="M519" s="25" t="n"/>
      <c r="N519" s="25" t="n"/>
    </row>
    <row r="520" ht="16.5" customHeight="1" s="56">
      <c r="A520" s="57" t="n">
        <v>46078</v>
      </c>
      <c r="B520" s="37" t="n">
        <v>34753.31</v>
      </c>
      <c r="C520" s="37" t="n">
        <v>35521.54</v>
      </c>
      <c r="D520" s="37" t="n">
        <v>34753.31</v>
      </c>
      <c r="E520" s="37" t="n">
        <v>35413.07</v>
      </c>
      <c r="F520" s="37" t="n">
        <v>712.25</v>
      </c>
      <c r="G520" s="25" t="n">
        <v>30169.28</v>
      </c>
      <c r="H520" s="24">
        <f>E520-G520</f>
        <v/>
      </c>
      <c r="I520" s="34">
        <f>H520/1000</f>
        <v/>
      </c>
      <c r="J520" s="34">
        <f>AVERAGE(I519:I520)</f>
        <v/>
      </c>
      <c r="K520" s="25" t="n"/>
      <c r="L520" s="25" t="n"/>
      <c r="M520" s="25" t="n"/>
      <c r="N520" s="25" t="n"/>
    </row>
    <row r="521" ht="16.5" customHeight="1" s="56">
      <c r="A521" s="57" t="n">
        <v>46079</v>
      </c>
      <c r="B521" s="39" t="n">
        <v>35457.76</v>
      </c>
      <c r="C521" s="39" t="n">
        <v>35579.34</v>
      </c>
      <c r="D521" s="35" t="n">
        <v>35171.52</v>
      </c>
      <c r="E521" s="39" t="n">
        <v>35414.49</v>
      </c>
      <c r="F521" s="39" t="n">
        <v>1.42</v>
      </c>
      <c r="G521" s="25" t="n">
        <v>30169.28</v>
      </c>
      <c r="H521" s="24">
        <f>E521-G521</f>
        <v/>
      </c>
      <c r="I521" s="34">
        <f>H521/1000</f>
        <v/>
      </c>
      <c r="J521" s="34">
        <f>AVERAGE(I520:I521)</f>
        <v/>
      </c>
      <c r="K521" s="25" t="n"/>
      <c r="L521" s="25" t="n"/>
      <c r="M521" s="25" t="n"/>
      <c r="N521" s="25" t="n"/>
    </row>
    <row r="522" ht="16.5" customHeight="1" s="56">
      <c r="A522" s="57" t="n">
        <v>46083</v>
      </c>
      <c r="B522" s="38" t="n">
        <v>35277.48</v>
      </c>
      <c r="C522" s="38" t="n">
        <v>35345.72</v>
      </c>
      <c r="D522" s="38" t="n">
        <v>34605.36</v>
      </c>
      <c r="E522" s="38" t="n">
        <v>35095.09</v>
      </c>
      <c r="F522" s="38" t="n">
        <v>-319.4</v>
      </c>
      <c r="G522" s="25" t="n">
        <v>32293.545</v>
      </c>
      <c r="H522" s="24">
        <f>E522-G522</f>
        <v/>
      </c>
      <c r="I522" s="34">
        <f>H522/1000</f>
        <v/>
      </c>
      <c r="J522" s="34">
        <f>AVERAGE(I521:I522)</f>
        <v/>
      </c>
      <c r="K522" s="25" t="n"/>
      <c r="L522" s="25" t="n"/>
      <c r="M522" s="25" t="n"/>
      <c r="N522" s="25" t="n"/>
    </row>
    <row r="523" ht="16.5" customHeight="1" s="56">
      <c r="A523" s="57" t="n">
        <v>46084</v>
      </c>
      <c r="B523" s="39" t="n">
        <v>35106.22</v>
      </c>
      <c r="C523" s="39" t="n">
        <v>35264.59</v>
      </c>
      <c r="D523" s="35" t="n">
        <v>34323.65</v>
      </c>
      <c r="E523" s="35" t="n">
        <v>34323.65</v>
      </c>
      <c r="F523" s="35" t="n">
        <v>-771.4400000000001</v>
      </c>
      <c r="G523" s="25" t="n">
        <v>32293.545</v>
      </c>
      <c r="H523" s="24">
        <f>E523-G523</f>
        <v/>
      </c>
      <c r="I523" s="34">
        <f>H523/1000</f>
        <v/>
      </c>
      <c r="J523" s="34">
        <f>AVERAGE(I522:I523)</f>
        <v/>
      </c>
      <c r="K523" s="25" t="n"/>
      <c r="L523" s="25" t="n"/>
      <c r="M523" s="25" t="n"/>
      <c r="N523" s="25" t="n"/>
    </row>
    <row r="524" ht="16.5" customHeight="1" s="56">
      <c r="A524" s="57" t="n">
        <v>46085</v>
      </c>
      <c r="B524" s="42" t="n">
        <v>34228.75</v>
      </c>
      <c r="C524" s="42" t="n">
        <v>34228.75</v>
      </c>
      <c r="D524" s="42" t="n">
        <v>32828.88</v>
      </c>
      <c r="E524" s="42" t="n">
        <v>32828.88</v>
      </c>
      <c r="F524" s="42" t="n">
        <v>-1494.77</v>
      </c>
      <c r="G524" s="25" t="n">
        <v>32293.545</v>
      </c>
      <c r="H524" s="24">
        <f>E524-G524</f>
        <v/>
      </c>
      <c r="I524" s="34">
        <f>H524/1000</f>
        <v/>
      </c>
      <c r="J524" s="34">
        <f>AVERAGE(I523:I524)</f>
        <v/>
      </c>
      <c r="K524" s="25" t="n"/>
      <c r="L524" s="25" t="n"/>
      <c r="M524" s="25" t="n"/>
      <c r="N524" s="25" t="n"/>
    </row>
    <row r="525" ht="16.5" customHeight="1" s="56">
      <c r="A525" s="57" t="n">
        <v>46086</v>
      </c>
      <c r="B525" s="43" t="n">
        <v>33620.74</v>
      </c>
      <c r="C525" s="43" t="n">
        <v>34319.68</v>
      </c>
      <c r="D525" s="43" t="n">
        <v>33472.91</v>
      </c>
      <c r="E525" s="43" t="n">
        <v>33672.94</v>
      </c>
      <c r="F525" s="43" t="n">
        <v>844.0599999999999</v>
      </c>
      <c r="G525" s="25" t="n">
        <v>32293.545</v>
      </c>
      <c r="H525" s="24">
        <f>E525-G525</f>
        <v/>
      </c>
      <c r="I525" s="34">
        <f>H525/1000</f>
        <v/>
      </c>
      <c r="J525" s="34">
        <f>AVERAGE(I524:I525)</f>
        <v/>
      </c>
      <c r="K525" s="25" t="n"/>
      <c r="L525" s="25" t="n"/>
      <c r="M525" s="25" t="n"/>
      <c r="N525" s="25" t="n"/>
    </row>
    <row r="526" ht="16.5" customHeight="1" s="56">
      <c r="A526" s="57" t="n">
        <v>46087</v>
      </c>
      <c r="B526" s="42" t="n">
        <v>33483.94</v>
      </c>
      <c r="C526" s="44" t="n">
        <v>33829.49</v>
      </c>
      <c r="D526" s="42" t="n">
        <v>33322.52</v>
      </c>
      <c r="E526" s="42" t="n">
        <v>33599.54</v>
      </c>
      <c r="F526" s="42" t="n">
        <v>-73.40000000000001</v>
      </c>
      <c r="G526" s="25" t="n">
        <v>32293.545</v>
      </c>
      <c r="H526" s="24">
        <f>E526-G526</f>
        <v/>
      </c>
      <c r="I526" s="34">
        <f>H526/1000</f>
        <v/>
      </c>
      <c r="J526" s="34">
        <f>AVERAGE(I525:I526)</f>
        <v/>
      </c>
      <c r="K526" s="25" t="n"/>
      <c r="L526" s="25" t="n"/>
      <c r="M526" s="25" t="n"/>
      <c r="N526" s="25" t="n"/>
    </row>
    <row r="527" ht="16.5" customHeight="1" s="56">
      <c r="A527" s="57" t="n">
        <v>46090</v>
      </c>
      <c r="B527" s="45" t="n">
        <v>32354.61</v>
      </c>
      <c r="C527" s="45" t="n">
        <v>32354.61</v>
      </c>
      <c r="D527" s="45" t="n">
        <v>31529.36</v>
      </c>
      <c r="E527" s="45" t="n">
        <v>32110.42</v>
      </c>
      <c r="F527" s="45" t="n">
        <v>-1489.12</v>
      </c>
      <c r="G527" s="25" t="n">
        <v>32293.545</v>
      </c>
      <c r="H527" s="24">
        <f>E527-G527</f>
        <v/>
      </c>
      <c r="I527" s="34">
        <f>H527/1000</f>
        <v/>
      </c>
      <c r="J527" s="34">
        <f>AVERAGE(I526:I527)</f>
        <v/>
      </c>
      <c r="K527" s="25" t="n"/>
      <c r="L527" s="25" t="n"/>
      <c r="M527" s="25" t="n"/>
      <c r="N527" s="25" t="n"/>
    </row>
    <row r="528" ht="16.5" customHeight="1" s="56">
      <c r="A528" s="57" t="n">
        <v>46091</v>
      </c>
      <c r="B528" s="44" t="n">
        <v>32692.37</v>
      </c>
      <c r="C528" s="44" t="n">
        <v>33256.69</v>
      </c>
      <c r="D528" s="44" t="n">
        <v>32455.2</v>
      </c>
      <c r="E528" s="44" t="n">
        <v>32771.87</v>
      </c>
      <c r="F528" s="44" t="n">
        <v>661.45</v>
      </c>
      <c r="G528" s="25" t="n">
        <v>32293.545</v>
      </c>
      <c r="H528" s="24">
        <f>E528-G528</f>
        <v/>
      </c>
      <c r="I528" s="34">
        <f>H528/1000</f>
        <v/>
      </c>
      <c r="J528" s="34">
        <f>AVERAGE(I527:I528)</f>
        <v/>
      </c>
      <c r="K528" s="25" t="n"/>
      <c r="L528" s="25" t="n"/>
      <c r="M528" s="25" t="n"/>
      <c r="N528" s="25" t="n"/>
    </row>
    <row r="529" ht="16.5" customHeight="1" s="56">
      <c r="A529" s="57" t="n">
        <v>46092</v>
      </c>
      <c r="B529" s="43" t="n">
        <v>33128.49</v>
      </c>
      <c r="C529" s="43" t="n">
        <v>34218.66</v>
      </c>
      <c r="D529" s="43" t="n">
        <v>33128.49</v>
      </c>
      <c r="E529" s="43" t="n">
        <v>34114.19</v>
      </c>
      <c r="F529" s="43" t="n">
        <v>1342.32</v>
      </c>
      <c r="G529" s="25" t="n">
        <v>32293.545</v>
      </c>
      <c r="H529" s="24">
        <f>E529-G529</f>
        <v/>
      </c>
      <c r="I529" s="34">
        <f>H529/1000</f>
        <v/>
      </c>
      <c r="J529" s="34">
        <f>AVERAGE(I528:I529)</f>
        <v/>
      </c>
      <c r="K529" s="25" t="n"/>
      <c r="L529" s="25" t="n"/>
      <c r="M529" s="25" t="n"/>
      <c r="N529" s="25" t="n"/>
    </row>
    <row r="530" ht="16.5" customHeight="1" s="56">
      <c r="A530" s="57" t="n">
        <v>46093</v>
      </c>
      <c r="B530" s="42" t="n">
        <v>33816.15</v>
      </c>
      <c r="C530" s="42" t="n">
        <v>34019.48</v>
      </c>
      <c r="D530" s="42" t="n">
        <v>33458.64</v>
      </c>
      <c r="E530" s="42" t="n">
        <v>33581.86</v>
      </c>
      <c r="F530" s="42" t="n">
        <v>-532.33</v>
      </c>
      <c r="G530" s="25" t="n">
        <v>32293.545</v>
      </c>
      <c r="H530" s="24">
        <f>E530-G530</f>
        <v/>
      </c>
      <c r="I530" s="34">
        <f>H530/1000</f>
        <v/>
      </c>
      <c r="J530" s="34">
        <f>AVERAGE(I529:I530)</f>
        <v/>
      </c>
      <c r="K530" s="25" t="n"/>
      <c r="L530" s="25" t="n"/>
      <c r="M530" s="25" t="n"/>
      <c r="N530" s="25" t="n"/>
    </row>
    <row r="531" ht="16.5" customHeight="1" s="56">
      <c r="A531" s="57" t="n">
        <v>46094</v>
      </c>
      <c r="B531" s="46" t="n">
        <v>33215.78</v>
      </c>
      <c r="C531" s="43" t="n">
        <v>33639.18</v>
      </c>
      <c r="D531" s="46" t="n">
        <v>33013.46</v>
      </c>
      <c r="E531" s="46" t="n">
        <v>33400.32</v>
      </c>
      <c r="F531" s="46" t="n">
        <v>-181.54</v>
      </c>
      <c r="G531" s="25" t="n">
        <v>32293.545</v>
      </c>
      <c r="H531" s="24">
        <f>E531-G531</f>
        <v/>
      </c>
      <c r="I531" s="34">
        <f>H531/1000</f>
        <v/>
      </c>
      <c r="J531" s="34">
        <f>AVERAGE(I530:I531)</f>
        <v/>
      </c>
      <c r="K531" s="25" t="n"/>
      <c r="L531" s="25" t="n"/>
      <c r="M531" s="25" t="n"/>
      <c r="N531" s="25" t="n"/>
    </row>
    <row r="532" ht="16.5" customHeight="1" s="56">
      <c r="A532" s="57" t="n">
        <v>46097</v>
      </c>
      <c r="B532" s="44" t="n">
        <v>33541.25</v>
      </c>
      <c r="C532" s="44" t="n">
        <v>33765.81</v>
      </c>
      <c r="D532" s="42" t="n">
        <v>33278.06</v>
      </c>
      <c r="E532" s="42" t="n">
        <v>33342.51</v>
      </c>
      <c r="F532" s="42" t="n">
        <v>-57.81</v>
      </c>
      <c r="G532" s="25" t="n">
        <v>32293.545</v>
      </c>
      <c r="H532" s="24">
        <f>E532-G532</f>
        <v/>
      </c>
      <c r="I532" s="34">
        <f>H532/1000</f>
        <v/>
      </c>
      <c r="J532" s="34">
        <f>AVERAGE(I531:I532)</f>
        <v/>
      </c>
      <c r="K532" s="25" t="n"/>
      <c r="L532" s="25" t="n"/>
      <c r="M532" s="25" t="n"/>
      <c r="N532" s="25" t="n"/>
    </row>
    <row r="533" ht="16.5" customHeight="1" s="56">
      <c r="A533" s="57" t="n">
        <v>46098</v>
      </c>
      <c r="B533" s="43" t="n">
        <v>33380.84</v>
      </c>
      <c r="C533" s="43" t="n">
        <v>34008.7</v>
      </c>
      <c r="D533" s="43" t="n">
        <v>33380.84</v>
      </c>
      <c r="E533" s="43" t="n">
        <v>33836.57</v>
      </c>
      <c r="F533" s="43" t="n">
        <v>494.06</v>
      </c>
      <c r="G533" s="25" t="n">
        <v>32293.545</v>
      </c>
      <c r="H533" s="24">
        <f>E533-G533</f>
        <v/>
      </c>
      <c r="I533" s="34">
        <f>H533/1000</f>
        <v/>
      </c>
      <c r="J533" s="34">
        <f>AVERAGE(I532:I533)</f>
        <v/>
      </c>
      <c r="K533" s="25" t="n"/>
      <c r="L533" s="25" t="n"/>
      <c r="M533" s="25" t="n"/>
      <c r="N533" s="25" t="n"/>
    </row>
    <row r="534" ht="16.5" customHeight="1" s="56">
      <c r="A534" s="57" t="n">
        <v>46099</v>
      </c>
      <c r="B534" s="44" t="n">
        <v>33929.28</v>
      </c>
      <c r="C534" s="44" t="n">
        <v>34423.66</v>
      </c>
      <c r="D534" s="44" t="n">
        <v>33929.28</v>
      </c>
      <c r="E534" s="44" t="n">
        <v>34348.58</v>
      </c>
      <c r="F534" s="44" t="n">
        <v>512.01</v>
      </c>
      <c r="G534" s="25" t="n">
        <v>32293.545</v>
      </c>
      <c r="H534" s="24">
        <f>E534-G534</f>
        <v/>
      </c>
      <c r="I534" s="34">
        <f>H534/1000</f>
        <v/>
      </c>
      <c r="J534" s="34">
        <f>AVERAGE(I533:I534)</f>
        <v/>
      </c>
      <c r="K534" s="25" t="n"/>
      <c r="L534" s="25" t="n"/>
      <c r="M534" s="25" t="n"/>
      <c r="N534" s="25" t="n"/>
    </row>
    <row r="535" ht="16.5" customHeight="1" s="56">
      <c r="A535" s="57" t="n">
        <v>46100</v>
      </c>
      <c r="B535" s="46" t="n">
        <v>34279.12</v>
      </c>
      <c r="C535" s="46" t="n">
        <v>34279.12</v>
      </c>
      <c r="D535" s="46" t="n">
        <v>33663.78</v>
      </c>
      <c r="E535" s="46" t="n">
        <v>33689.68</v>
      </c>
      <c r="F535" s="46" t="n">
        <v>-658.9</v>
      </c>
      <c r="G535" s="25" t="n">
        <v>32293.545</v>
      </c>
      <c r="H535" s="24">
        <f>E535-G535</f>
        <v/>
      </c>
      <c r="I535" s="34">
        <f>H535/1000</f>
        <v/>
      </c>
      <c r="J535" s="34">
        <f>AVERAGE(I534:I535)</f>
        <v/>
      </c>
      <c r="K535" s="25" t="n"/>
      <c r="L535" s="25" t="n"/>
      <c r="M535" s="25" t="n"/>
      <c r="N535" s="25" t="n"/>
    </row>
    <row r="536" ht="16.5" customHeight="1" s="56">
      <c r="A536" s="57" t="n">
        <v>46101</v>
      </c>
      <c r="B536" s="44" t="n">
        <v>33719.85</v>
      </c>
      <c r="C536" s="44" t="n">
        <v>33989.18</v>
      </c>
      <c r="D536" s="42" t="n">
        <v>33379.24</v>
      </c>
      <c r="E536" s="42" t="n">
        <v>33543.88</v>
      </c>
      <c r="F536" s="42" t="n">
        <v>-145.8</v>
      </c>
      <c r="G536" s="25" t="n">
        <v>32293.545</v>
      </c>
      <c r="H536" s="24">
        <f>E536-G536</f>
        <v/>
      </c>
      <c r="I536" s="34">
        <f>H536/1000</f>
        <v/>
      </c>
      <c r="J536" s="34">
        <f>AVERAGE(I535:I536)</f>
        <v/>
      </c>
      <c r="K536" s="25" t="n"/>
      <c r="L536" s="25" t="n"/>
      <c r="M536" s="25" t="n"/>
      <c r="N536" s="25" t="n"/>
    </row>
    <row r="537" ht="16.5" customHeight="1" s="56">
      <c r="A537" s="57" t="n">
        <v>46104</v>
      </c>
      <c r="B537" s="46" t="n">
        <v>33334</v>
      </c>
      <c r="C537" s="46" t="n">
        <v>33334</v>
      </c>
      <c r="D537" s="46" t="n">
        <v>32461.09</v>
      </c>
      <c r="E537" s="46" t="n">
        <v>32722.5</v>
      </c>
      <c r="F537" s="46" t="n">
        <v>-821.38</v>
      </c>
      <c r="G537" s="25" t="n">
        <v>32293.545</v>
      </c>
      <c r="H537" s="24">
        <f>E537-G537</f>
        <v/>
      </c>
      <c r="I537" s="34">
        <f>H537/1000</f>
        <v/>
      </c>
      <c r="J537" s="34">
        <f>AVERAGE(I536:I537)</f>
        <v/>
      </c>
      <c r="K537" s="25" t="n"/>
      <c r="L537" s="25" t="n"/>
      <c r="M537" s="25" t="n"/>
      <c r="N537" s="25" t="n"/>
    </row>
    <row r="538" ht="16.5" customHeight="1" s="56">
      <c r="A538" s="57" t="n">
        <v>46105</v>
      </c>
      <c r="B538" s="44" t="n">
        <v>33062.89</v>
      </c>
      <c r="C538" s="44" t="n">
        <v>33361.46</v>
      </c>
      <c r="D538" s="42" t="n">
        <v>32434.54</v>
      </c>
      <c r="E538" s="42" t="n">
        <v>32612.24</v>
      </c>
      <c r="F538" s="42" t="n">
        <v>-110.26</v>
      </c>
      <c r="G538" s="25" t="n">
        <v>32293.545</v>
      </c>
      <c r="H538" s="24">
        <f>E538-G538</f>
        <v/>
      </c>
      <c r="I538" s="34">
        <f>H538/1000</f>
        <v/>
      </c>
      <c r="J538" s="34">
        <f>AVERAGE(I537:I538)</f>
        <v/>
      </c>
      <c r="K538" s="25" t="n"/>
      <c r="L538" s="25" t="n"/>
      <c r="M538" s="25" t="n"/>
      <c r="N538" s="25" t="n"/>
    </row>
    <row r="539" ht="16.5" customHeight="1" s="56">
      <c r="A539" s="57" t="n">
        <v>46106</v>
      </c>
      <c r="B539" s="43" t="n">
        <v>32725.27</v>
      </c>
      <c r="C539" s="43" t="n">
        <v>33705.75</v>
      </c>
      <c r="D539" s="43" t="n">
        <v>32725.27</v>
      </c>
      <c r="E539" s="43" t="n">
        <v>33439.11</v>
      </c>
      <c r="F539" s="43" t="n">
        <v>826.87</v>
      </c>
      <c r="G539" s="25" t="n">
        <v>32293.545</v>
      </c>
      <c r="H539" s="24">
        <f>E539-G539</f>
        <v/>
      </c>
      <c r="I539" s="34">
        <f>H539/1000</f>
        <v/>
      </c>
      <c r="J539" s="34">
        <f>AVERAGE(I538:I539)</f>
        <v/>
      </c>
      <c r="K539" s="25" t="n"/>
      <c r="L539" s="25" t="n"/>
      <c r="M539" s="25" t="n"/>
      <c r="N539" s="25" t="n"/>
    </row>
    <row r="540" ht="16.5" customHeight="1" s="56">
      <c r="A540" s="57" t="n">
        <v>46107</v>
      </c>
      <c r="B540" s="44" t="n">
        <v>33575.6</v>
      </c>
      <c r="C540" s="44" t="n">
        <v>33892.56</v>
      </c>
      <c r="D540" s="42" t="n">
        <v>33337.62</v>
      </c>
      <c r="E540" s="42" t="n">
        <v>33337.62</v>
      </c>
      <c r="F540" s="42" t="n">
        <v>-101.49</v>
      </c>
      <c r="G540" s="25" t="n">
        <v>32293.545</v>
      </c>
      <c r="H540" s="24">
        <f>E540-G540</f>
        <v/>
      </c>
      <c r="I540" s="34">
        <f>H540/1000</f>
        <v/>
      </c>
      <c r="J540" s="34">
        <f>AVERAGE(I539:I540)</f>
        <v/>
      </c>
      <c r="K540" s="25" t="n"/>
      <c r="L540" s="25" t="n"/>
      <c r="M540" s="25" t="n"/>
      <c r="N540" s="25" t="n"/>
    </row>
    <row r="541" ht="16.5" customHeight="1" s="56">
      <c r="A541" s="57" t="n">
        <v>46108</v>
      </c>
      <c r="B541" s="46" t="n">
        <v>33267.25</v>
      </c>
      <c r="C541" s="46" t="n">
        <v>33267.25</v>
      </c>
      <c r="D541" s="46" t="n">
        <v>32669.39</v>
      </c>
      <c r="E541" s="46" t="n">
        <v>33112.59</v>
      </c>
      <c r="F541" s="46" t="n">
        <v>-225.03</v>
      </c>
      <c r="G541" s="25" t="n">
        <v>32293.545</v>
      </c>
      <c r="H541" s="24">
        <f>E541-G541</f>
        <v/>
      </c>
      <c r="I541" s="34">
        <f>H541/1000</f>
        <v/>
      </c>
      <c r="J541" s="34">
        <f>AVERAGE(I540:I541)</f>
        <v/>
      </c>
      <c r="K541" s="25" t="n"/>
      <c r="L541" s="25" t="n"/>
      <c r="M541" s="25" t="n"/>
      <c r="N541" s="25" t="n"/>
    </row>
    <row r="542" ht="16.5" customHeight="1" s="56">
      <c r="A542" s="57" t="n">
        <v>46111</v>
      </c>
      <c r="B542" s="42" t="n">
        <v>33009.68</v>
      </c>
      <c r="C542" s="42" t="n">
        <v>33009.68</v>
      </c>
      <c r="D542" s="42" t="n">
        <v>32326.37</v>
      </c>
      <c r="E542" s="42" t="n">
        <v>32518.16</v>
      </c>
      <c r="F542" s="42" t="n">
        <v>-594.4299999999999</v>
      </c>
      <c r="G542" s="25" t="n">
        <v>32293.545</v>
      </c>
      <c r="H542" s="24">
        <f>E542-G542</f>
        <v/>
      </c>
      <c r="I542" s="34">
        <f>H542/1000</f>
        <v/>
      </c>
      <c r="J542" s="34">
        <f>AVERAGE(I541:I542)</f>
        <v/>
      </c>
      <c r="K542" s="25" t="n"/>
      <c r="L542" s="25" t="n"/>
      <c r="M542" s="25" t="n"/>
      <c r="N542" s="25" t="n"/>
    </row>
    <row r="543" ht="16.5" customHeight="1" s="56">
      <c r="A543" s="57" t="n">
        <v>46112</v>
      </c>
      <c r="B543" s="46" t="n">
        <v>32419</v>
      </c>
      <c r="C543" s="46" t="n">
        <v>32453.38</v>
      </c>
      <c r="D543" s="46" t="n">
        <v>31705.99</v>
      </c>
      <c r="E543" s="46" t="n">
        <v>31722.99</v>
      </c>
      <c r="F543" s="46" t="n">
        <v>-795.17</v>
      </c>
      <c r="G543" s="25" t="n">
        <v>32293.545</v>
      </c>
      <c r="H543" s="24">
        <f>E543-G543</f>
        <v/>
      </c>
      <c r="I543" s="34">
        <f>H543/1000</f>
        <v/>
      </c>
      <c r="J543" s="34">
        <f>AVERAGE(I542:I543)</f>
        <v/>
      </c>
      <c r="K543" s="25" t="n"/>
      <c r="L543" s="25" t="n"/>
      <c r="M543" s="25" t="n"/>
      <c r="N543" s="25" t="n"/>
    </row>
    <row r="544" ht="16.5" customHeight="1" s="56">
      <c r="A544" s="57" t="n">
        <v>46113</v>
      </c>
      <c r="B544" s="44" t="n">
        <v>31892.33</v>
      </c>
      <c r="C544" s="44" t="n">
        <v>33182.22</v>
      </c>
      <c r="D544" s="44" t="n">
        <v>31892.33</v>
      </c>
      <c r="E544" s="44" t="n">
        <v>33174.82</v>
      </c>
      <c r="F544" s="44" t="n">
        <v>1451.83</v>
      </c>
      <c r="G544" s="25" t="n">
        <v>33371.81</v>
      </c>
      <c r="H544" s="24">
        <f>E544-G544</f>
        <v/>
      </c>
      <c r="I544" s="34">
        <f>H544/1000</f>
        <v/>
      </c>
      <c r="J544" s="34">
        <f>AVERAGE(I543:I544)</f>
        <v/>
      </c>
      <c r="K544" s="25" t="n"/>
      <c r="L544" s="25" t="n"/>
      <c r="M544" s="25" t="n"/>
      <c r="N544" s="25" t="n"/>
    </row>
    <row r="545" ht="16.5" customHeight="1" s="56">
      <c r="A545" s="57" t="n">
        <v>46114</v>
      </c>
      <c r="B545" s="43" t="n">
        <v>33218.02</v>
      </c>
      <c r="C545" s="43" t="n">
        <v>33497.58</v>
      </c>
      <c r="D545" s="46" t="n">
        <v>32516.94</v>
      </c>
      <c r="E545" s="46" t="n">
        <v>32572.43</v>
      </c>
      <c r="F545" s="46" t="n">
        <v>-602.39</v>
      </c>
      <c r="G545" s="25" t="n">
        <v>33371.81</v>
      </c>
      <c r="H545" s="24">
        <f>E545-G545</f>
        <v/>
      </c>
      <c r="I545" s="34">
        <f>H545/1000</f>
        <v/>
      </c>
      <c r="J545" s="34">
        <f>AVERAGE(I544:I545)</f>
        <v/>
      </c>
      <c r="K545" s="25" t="n"/>
      <c r="L545" s="25" t="n"/>
      <c r="M545" s="25" t="n"/>
      <c r="N545" s="25" t="n"/>
    </row>
    <row r="546" ht="16.5" customHeight="1" s="56">
      <c r="A546" s="57" t="n">
        <v>46119</v>
      </c>
      <c r="B546" s="44" t="n">
        <v>32671.52</v>
      </c>
      <c r="C546" s="44" t="n">
        <v>33264.22</v>
      </c>
      <c r="D546" s="44" t="n">
        <v>32671.52</v>
      </c>
      <c r="E546" s="44" t="n">
        <v>33229.82</v>
      </c>
      <c r="F546" s="44" t="n">
        <v>657.39</v>
      </c>
      <c r="G546" s="25" t="n">
        <v>33371.81</v>
      </c>
      <c r="H546" s="24">
        <f>E546-G546</f>
        <v/>
      </c>
      <c r="I546" s="34">
        <f>H546/1000</f>
        <v/>
      </c>
      <c r="J546" s="34">
        <f>AVERAGE(I545:I546)</f>
        <v/>
      </c>
      <c r="K546" s="25" t="n"/>
      <c r="L546" s="25" t="n"/>
      <c r="M546" s="25" t="n"/>
      <c r="N546" s="25" t="n"/>
    </row>
    <row r="547" ht="16.5" customHeight="1" s="56">
      <c r="A547" s="57" t="n">
        <v>46120</v>
      </c>
      <c r="B547" s="47" t="n">
        <v>33379.5</v>
      </c>
      <c r="C547" s="47" t="n">
        <v>34761.38</v>
      </c>
      <c r="D547" s="47" t="n">
        <v>33379.5</v>
      </c>
      <c r="E547" s="47" t="n">
        <v>34761.38</v>
      </c>
      <c r="F547" s="47" t="n">
        <v>1531.56</v>
      </c>
      <c r="G547" s="25" t="n">
        <v>33371.81</v>
      </c>
      <c r="H547" s="24">
        <f>E547-G547</f>
        <v/>
      </c>
      <c r="I547" s="34">
        <f>H547/1000</f>
        <v/>
      </c>
      <c r="J547" s="34">
        <f>AVERAGE(I546:I547)</f>
        <v/>
      </c>
      <c r="K547" s="25" t="n"/>
      <c r="L547" s="25" t="n"/>
      <c r="M547" s="25" t="n"/>
      <c r="N547" s="25" t="n"/>
    </row>
    <row r="548" ht="16.5" customHeight="1" s="56">
      <c r="A548" s="57" t="n">
        <v>46121</v>
      </c>
      <c r="B548" s="48" t="n">
        <v>34779.96</v>
      </c>
      <c r="C548" s="48" t="n">
        <v>34884.45</v>
      </c>
      <c r="D548" s="49" t="n">
        <v>34617.34</v>
      </c>
      <c r="E548" s="48" t="n">
        <v>34861.16</v>
      </c>
      <c r="F548" s="48" t="n">
        <v>99.78</v>
      </c>
      <c r="G548" s="25" t="n">
        <v>33371.81</v>
      </c>
      <c r="H548" s="24">
        <f>E548-G548</f>
        <v/>
      </c>
      <c r="I548" s="34">
        <f>H548/1000</f>
        <v/>
      </c>
      <c r="J548" s="34">
        <f>AVERAGE(I547:I548)</f>
        <v/>
      </c>
      <c r="K548" s="25" t="n"/>
      <c r="L548" s="25" t="n"/>
      <c r="M548" s="25" t="n"/>
      <c r="N548" s="25" t="n"/>
    </row>
    <row r="549" ht="16.5" customHeight="1" s="56">
      <c r="A549" s="57" t="n">
        <v>46122</v>
      </c>
      <c r="B549" s="50" t="n">
        <v>34950.87</v>
      </c>
      <c r="C549" s="50" t="n">
        <v>35417.83</v>
      </c>
      <c r="D549" s="50" t="n">
        <v>34950.87</v>
      </c>
      <c r="E549" s="50" t="n">
        <v>35417.83</v>
      </c>
      <c r="F549" s="50" t="n">
        <v>556.67</v>
      </c>
      <c r="G549" s="25" t="n">
        <v>33371.81</v>
      </c>
      <c r="H549" s="24">
        <f>E549-G549</f>
        <v/>
      </c>
      <c r="I549" s="34">
        <f>H549/1000</f>
        <v/>
      </c>
      <c r="J549" s="34">
        <f>AVERAGE(I548:I549)</f>
        <v/>
      </c>
      <c r="K549" s="25" t="n"/>
      <c r="L549" s="25" t="n"/>
      <c r="M549" s="25" t="n"/>
      <c r="N549" s="25" t="n"/>
    </row>
    <row r="550" ht="16.5" customHeight="1" s="56">
      <c r="A550" s="57" t="n">
        <v>46125</v>
      </c>
      <c r="B550" s="48" t="n">
        <v>35422.91</v>
      </c>
      <c r="C550" s="48" t="n">
        <v>35552.49</v>
      </c>
      <c r="D550" s="49" t="n">
        <v>35261.73</v>
      </c>
      <c r="E550" s="48" t="n">
        <v>35457.29</v>
      </c>
      <c r="F550" s="48" t="n">
        <v>39.46</v>
      </c>
      <c r="G550" s="25" t="n">
        <v>33371.81</v>
      </c>
      <c r="H550" s="24">
        <f>E550-G550</f>
        <v/>
      </c>
      <c r="I550" s="34">
        <f>H550/1000</f>
        <v/>
      </c>
      <c r="J550" s="34">
        <f>AVERAGE(I549:I550)</f>
        <v/>
      </c>
      <c r="K550" s="25" t="n"/>
      <c r="L550" s="25" t="n"/>
      <c r="M550" s="25" t="n"/>
      <c r="N550" s="25" t="n"/>
    </row>
    <row r="551" ht="16.5" customHeight="1" s="56">
      <c r="A551" s="57" t="n">
        <v>46126</v>
      </c>
      <c r="B551" s="50" t="n">
        <v>35584.09</v>
      </c>
      <c r="C551" s="50" t="n">
        <v>36341.44</v>
      </c>
      <c r="D551" s="50" t="n">
        <v>35584.09</v>
      </c>
      <c r="E551" s="50" t="n">
        <v>36296.12</v>
      </c>
      <c r="F551" s="50" t="n">
        <v>838.83</v>
      </c>
      <c r="G551" s="25" t="n">
        <v>33371.81</v>
      </c>
      <c r="H551" s="24">
        <f>E551-G551</f>
        <v/>
      </c>
      <c r="I551" s="34">
        <f>H551/1000</f>
        <v/>
      </c>
      <c r="J551" s="34">
        <f>AVERAGE(I550:I551)</f>
        <v/>
      </c>
      <c r="K551" s="25" t="n"/>
      <c r="L551" s="25" t="n"/>
      <c r="M551" s="25" t="n"/>
      <c r="N551" s="25" t="n"/>
    </row>
    <row r="552" ht="16.5" customHeight="1" s="56">
      <c r="A552" s="57" t="n">
        <v>46127</v>
      </c>
      <c r="B552" s="48" t="n">
        <v>36369.11</v>
      </c>
      <c r="C552" s="48" t="n">
        <v>37064.16</v>
      </c>
      <c r="D552" s="48" t="n">
        <v>36369.11</v>
      </c>
      <c r="E552" s="48" t="n">
        <v>36722.14</v>
      </c>
      <c r="F552" s="48" t="n">
        <v>426.02</v>
      </c>
      <c r="G552" s="25" t="n">
        <v>33371.81</v>
      </c>
      <c r="H552" s="24">
        <f>E552-G552</f>
        <v/>
      </c>
      <c r="I552" s="34">
        <f>H552/1000</f>
        <v/>
      </c>
      <c r="J552" s="34">
        <f>AVERAGE(I551:I552)</f>
        <v/>
      </c>
      <c r="K552" s="25" t="n"/>
      <c r="L552" s="25" t="n"/>
      <c r="M552" s="25" t="n"/>
      <c r="N552" s="25" t="n"/>
    </row>
    <row r="553" ht="16.5" customHeight="1" s="56">
      <c r="A553" s="57" t="n">
        <v>46128</v>
      </c>
      <c r="B553" s="47" t="n">
        <v>36759.53</v>
      </c>
      <c r="C553" s="47" t="n">
        <v>37135.55</v>
      </c>
      <c r="D553" s="47" t="n">
        <v>36751.09</v>
      </c>
      <c r="E553" s="47" t="n">
        <v>37132.02</v>
      </c>
      <c r="F553" s="47" t="n">
        <v>409.88</v>
      </c>
      <c r="G553" s="25" t="n">
        <v>33371.81</v>
      </c>
      <c r="H553" s="24">
        <f>E553-G553</f>
        <v/>
      </c>
      <c r="I553" s="34">
        <f>H553/1000</f>
        <v/>
      </c>
      <c r="J553" s="34">
        <f>AVERAGE(I552:I553)</f>
        <v/>
      </c>
      <c r="K553" s="25" t="n"/>
      <c r="L553" s="25" t="n"/>
      <c r="M553" s="25" t="n"/>
      <c r="N553" s="25" t="n"/>
    </row>
    <row r="554" ht="16.5" customHeight="1" s="56">
      <c r="A554" s="57" t="n">
        <v>46129</v>
      </c>
      <c r="B554" s="48" t="n">
        <v>37145.66</v>
      </c>
      <c r="C554" s="48" t="n">
        <v>37145.66</v>
      </c>
      <c r="D554" s="49" t="n">
        <v>36776.28</v>
      </c>
      <c r="E554" s="49" t="n">
        <v>36804.34</v>
      </c>
      <c r="F554" s="49" t="n">
        <v>-327.68</v>
      </c>
      <c r="G554" s="25" t="n">
        <v>33371.81</v>
      </c>
      <c r="H554" s="24">
        <f>E554-G554</f>
        <v/>
      </c>
      <c r="I554" s="34">
        <f>H554/1000</f>
        <v/>
      </c>
      <c r="J554" s="34">
        <f>AVERAGE(I553:I554)</f>
        <v/>
      </c>
      <c r="K554" s="25" t="n"/>
      <c r="L554" s="25" t="n"/>
      <c r="M554" s="25" t="n"/>
      <c r="N554" s="25" t="n"/>
    </row>
    <row r="555" ht="16.5" customHeight="1" s="56">
      <c r="A555" s="57" t="n">
        <v>46132</v>
      </c>
      <c r="B555" s="47" t="n">
        <v>36850.24</v>
      </c>
      <c r="C555" s="47" t="n">
        <v>37344.5</v>
      </c>
      <c r="D555" s="47" t="n">
        <v>36850.24</v>
      </c>
      <c r="E555" s="47" t="n">
        <v>36958.8</v>
      </c>
      <c r="F555" s="47" t="n">
        <v>154.46</v>
      </c>
      <c r="G555" s="25" t="n">
        <v>33371.81</v>
      </c>
      <c r="H555" s="24">
        <f>E555-G555</f>
        <v/>
      </c>
      <c r="I555" s="34">
        <f>H555/1000</f>
        <v/>
      </c>
      <c r="J555" s="34">
        <f>AVERAGE(I554:I555)</f>
        <v/>
      </c>
      <c r="K555" s="25" t="n"/>
      <c r="L555" s="25" t="n"/>
      <c r="M555" s="25" t="n"/>
      <c r="N555" s="25" t="n"/>
    </row>
    <row r="556" ht="16.5" customHeight="1" s="56">
      <c r="A556" s="57" t="n">
        <v>46133</v>
      </c>
      <c r="B556" s="48" t="n">
        <v>37051.25</v>
      </c>
      <c r="C556" s="48" t="n">
        <v>37781.83</v>
      </c>
      <c r="D556" s="48" t="n">
        <v>37051.25</v>
      </c>
      <c r="E556" s="48" t="n">
        <v>37605.11</v>
      </c>
      <c r="F556" s="48" t="n">
        <v>646.3099999999999</v>
      </c>
      <c r="G556" s="25" t="n">
        <v>33371.81</v>
      </c>
      <c r="H556" s="24">
        <f>E556-G556</f>
        <v/>
      </c>
      <c r="I556" s="34">
        <f>H556/1000</f>
        <v/>
      </c>
      <c r="J556" s="34">
        <f>AVERAGE(I555:I556)</f>
        <v/>
      </c>
      <c r="K556" s="25" t="n"/>
      <c r="L556" s="25" t="n"/>
      <c r="M556" s="25" t="n"/>
      <c r="N556" s="25" t="n"/>
    </row>
    <row r="557" ht="16.5" customHeight="1" s="56">
      <c r="A557" s="57" t="n">
        <v>46134</v>
      </c>
      <c r="B557" s="50" t="n">
        <v>37627.2</v>
      </c>
      <c r="C557" s="50" t="n">
        <v>38096.88</v>
      </c>
      <c r="D557" s="50" t="n">
        <v>37623.38</v>
      </c>
      <c r="E557" s="50" t="n">
        <v>37878.47</v>
      </c>
      <c r="F557" s="50" t="n">
        <v>273.36</v>
      </c>
      <c r="G557" s="25" t="n">
        <v>33371.81</v>
      </c>
      <c r="H557" s="24">
        <f>E557-G557</f>
        <v/>
      </c>
      <c r="I557" s="34">
        <f>H557/1000</f>
        <v/>
      </c>
      <c r="J557" s="34">
        <f>AVERAGE(I556:I557)</f>
        <v/>
      </c>
      <c r="K557" s="25" t="n"/>
      <c r="L557" s="25" t="n"/>
      <c r="M557" s="25" t="n"/>
      <c r="N557" s="25" t="n"/>
    </row>
    <row r="558" ht="16.5" customHeight="1" s="56">
      <c r="A558" s="57" t="n">
        <v>46135</v>
      </c>
      <c r="B558" s="48" t="n">
        <v>37971.69</v>
      </c>
      <c r="C558" s="48" t="n">
        <v>38921.95</v>
      </c>
      <c r="D558" s="49" t="n">
        <v>37164.44</v>
      </c>
      <c r="E558" s="49" t="n">
        <v>37714.15</v>
      </c>
      <c r="F558" s="49" t="n">
        <v>-164.32</v>
      </c>
      <c r="G558" s="25" t="n">
        <v>33371.81</v>
      </c>
      <c r="H558" s="24">
        <f>E558-G558</f>
        <v/>
      </c>
      <c r="I558" s="34">
        <f>H558/1000</f>
        <v/>
      </c>
      <c r="J558" s="34">
        <f>AVERAGE(I557:I558)</f>
        <v/>
      </c>
      <c r="K558" s="25" t="n"/>
      <c r="L558" s="25" t="n"/>
      <c r="M558" s="25" t="n"/>
      <c r="N558" s="25" t="n"/>
    </row>
    <row r="559" ht="16.5" customHeight="1" s="56">
      <c r="A559" s="57" t="n">
        <v>46136</v>
      </c>
      <c r="B559" s="47" t="n">
        <v>37862.65</v>
      </c>
      <c r="C559" s="47" t="n">
        <v>38989.94</v>
      </c>
      <c r="D559" s="47" t="n">
        <v>37862.65</v>
      </c>
      <c r="E559" s="47" t="n">
        <v>38932.4</v>
      </c>
      <c r="F559" s="47" t="n">
        <v>1218.25</v>
      </c>
      <c r="G559" s="25" t="n">
        <v>33371.81</v>
      </c>
      <c r="H559" s="24">
        <f>E559-G559</f>
        <v/>
      </c>
      <c r="I559" s="34">
        <f>H559/1000</f>
        <v/>
      </c>
      <c r="J559" s="34">
        <f>AVERAGE(I558:I559)</f>
        <v/>
      </c>
      <c r="K559" s="25" t="n"/>
      <c r="L559" s="25" t="n"/>
      <c r="M559" s="25" t="n"/>
      <c r="N559" s="25" t="n"/>
    </row>
    <row r="560" ht="16.5" customHeight="1" s="56">
      <c r="A560" s="57" t="n">
        <v>46139</v>
      </c>
      <c r="B560" s="48" t="n">
        <v>39858.19</v>
      </c>
      <c r="C560" s="48" t="n">
        <v>40194.92</v>
      </c>
      <c r="D560" s="48" t="n">
        <v>39607.74</v>
      </c>
      <c r="E560" s="48" t="n">
        <v>39616.63</v>
      </c>
      <c r="F560" s="48" t="n">
        <v>684.23</v>
      </c>
      <c r="G560" s="25" t="n">
        <v>33371.81</v>
      </c>
      <c r="H560" s="24">
        <f>E560-G560</f>
        <v/>
      </c>
      <c r="I560" s="34">
        <f>H560/1000</f>
        <v/>
      </c>
      <c r="J560" s="34">
        <f>AVERAGE(I559:I560)</f>
        <v/>
      </c>
      <c r="K560" s="25" t="n"/>
      <c r="L560" s="25" t="n"/>
      <c r="M560" s="25" t="n"/>
      <c r="N560" s="25" t="n"/>
    </row>
    <row r="561" ht="16.5" customHeight="1" s="56">
      <c r="A561" s="57" t="n">
        <v>46140</v>
      </c>
      <c r="B561" s="25" t="n">
        <v>39531.93</v>
      </c>
      <c r="C561" s="25" t="n">
        <v>40101.23</v>
      </c>
      <c r="D561" s="25" t="n">
        <v>39521.73</v>
      </c>
      <c r="E561" s="25" t="n">
        <v>39521.73</v>
      </c>
      <c r="F561" s="25" t="n">
        <v>-10.2</v>
      </c>
      <c r="G561" s="25" t="n">
        <v>33371.81</v>
      </c>
      <c r="H561" s="24">
        <f>E561-G561</f>
        <v/>
      </c>
      <c r="I561" s="34">
        <f>H561/1000</f>
        <v/>
      </c>
      <c r="J561" s="34">
        <f>AVERAGE(I560:I561)</f>
        <v/>
      </c>
      <c r="K561" s="25" t="n"/>
      <c r="L561" s="25" t="n"/>
      <c r="M561" s="25" t="n"/>
      <c r="N561" s="25" t="n"/>
    </row>
    <row r="562" ht="16.5" customHeight="1" s="56">
      <c r="A562" s="57" t="n">
        <v>46141</v>
      </c>
      <c r="B562" s="25" t="n">
        <v>39176.24</v>
      </c>
      <c r="C562" s="25" t="n">
        <v>39548.18</v>
      </c>
      <c r="D562" s="25" t="n">
        <v>38896.3</v>
      </c>
      <c r="E562" s="25" t="n">
        <v>39303.5</v>
      </c>
      <c r="F562" s="25" t="n">
        <v>127.26</v>
      </c>
      <c r="G562" s="25" t="n">
        <v>33371.81</v>
      </c>
      <c r="H562" s="24">
        <f>E562-G562</f>
        <v/>
      </c>
      <c r="I562" s="34">
        <f>H562/1000</f>
        <v/>
      </c>
      <c r="J562" s="34">
        <f>AVERAGE(I561:I562)</f>
        <v/>
      </c>
      <c r="K562" s="25" t="n"/>
      <c r="L562" s="25" t="n"/>
      <c r="M562" s="25" t="n"/>
      <c r="N562" s="25" t="n"/>
    </row>
    <row r="563" ht="16.5" customHeight="1" s="56">
      <c r="A563" s="57" t="n">
        <v>46142</v>
      </c>
      <c r="B563" s="25" t="n">
        <v>39571.46</v>
      </c>
      <c r="C563" s="25" t="n">
        <v>39848.22</v>
      </c>
      <c r="D563" s="25" t="n">
        <v>38926.63</v>
      </c>
      <c r="E563" s="25" t="n">
        <v>38926.63</v>
      </c>
      <c r="F563" s="25" t="n">
        <v>-644.83</v>
      </c>
      <c r="G563" s="25" t="n">
        <v>33371.81</v>
      </c>
      <c r="H563" s="24">
        <f>E563-G563</f>
        <v/>
      </c>
      <c r="I563" s="34">
        <f>H563/1000</f>
        <v/>
      </c>
      <c r="J563" s="34">
        <f>AVERAGE(I562:I563)</f>
        <v/>
      </c>
      <c r="K563" s="25" t="n"/>
      <c r="L563" s="25" t="n"/>
      <c r="M563" s="25" t="n"/>
      <c r="N563" s="25" t="n"/>
    </row>
    <row r="564" ht="16.5" customHeight="1" s="56">
      <c r="A564" s="59" t="n">
        <v>46146</v>
      </c>
      <c r="B564" s="25" t="n">
        <v>39228.39</v>
      </c>
      <c r="C564" s="25" t="n">
        <v>40755.52</v>
      </c>
      <c r="D564" s="25" t="n">
        <v>39228.39</v>
      </c>
      <c r="E564" s="25" t="n">
        <v>40705.14</v>
      </c>
      <c r="F564" s="25" t="n">
        <v>1476.75</v>
      </c>
      <c r="G564" s="25" t="n">
        <v>35862.14</v>
      </c>
      <c r="H564" s="24">
        <f>E564-G564</f>
        <v/>
      </c>
      <c r="I564" s="34">
        <f>H564/1000</f>
        <v/>
      </c>
      <c r="J564" s="34">
        <f>AVERAGE(I560:I564)</f>
        <v/>
      </c>
      <c r="K564" s="25" t="n"/>
      <c r="L564" s="25" t="n"/>
      <c r="M564" s="25" t="n"/>
      <c r="N564" s="25" t="n"/>
    </row>
    <row r="565" ht="16.5" customHeight="1" s="56">
      <c r="A565" s="59" t="n">
        <v>46147</v>
      </c>
      <c r="B565" s="25" t="n">
        <v>40708.4</v>
      </c>
      <c r="C565" s="25" t="n">
        <v>40885.05</v>
      </c>
      <c r="D565" s="25" t="n">
        <v>40522.78</v>
      </c>
      <c r="E565" s="25" t="n">
        <v>40769.29</v>
      </c>
      <c r="F565" s="25" t="n">
        <v>60.89</v>
      </c>
      <c r="G565" s="25" t="n">
        <v>35862.14</v>
      </c>
      <c r="H565" s="24">
        <f>E565-G565</f>
        <v/>
      </c>
      <c r="I565" s="34">
        <f>H565/1000</f>
        <v/>
      </c>
      <c r="J565" s="34">
        <f>AVERAGE(I564:I565)</f>
        <v/>
      </c>
      <c r="K565" s="25" t="n"/>
      <c r="L565" s="25" t="n"/>
      <c r="M565" s="25" t="n"/>
      <c r="N565" s="25" t="n"/>
    </row>
    <row r="566" ht="16.5" customHeight="1" s="56">
      <c r="A566" s="59" t="n">
        <v>46148</v>
      </c>
      <c r="B566" s="25" t="n">
        <v>40983.04</v>
      </c>
      <c r="C566" s="25" t="n">
        <v>41575.84</v>
      </c>
      <c r="D566" s="25" t="n">
        <v>40616.28</v>
      </c>
      <c r="E566" s="25" t="n">
        <v>41138.85</v>
      </c>
      <c r="F566" s="25" t="n">
        <v>155.81</v>
      </c>
      <c r="G566" s="25" t="n">
        <v>35862.14</v>
      </c>
      <c r="H566" s="24">
        <f>E566-G566</f>
        <v/>
      </c>
      <c r="I566" s="34">
        <f>H566/1000</f>
        <v/>
      </c>
      <c r="J566" s="34">
        <f>AVERAGE(I565:I566)</f>
        <v/>
      </c>
      <c r="K566" s="25" t="n"/>
      <c r="L566" s="25" t="n"/>
      <c r="M566" s="25" t="n"/>
      <c r="N566" s="25" t="n"/>
    </row>
    <row r="567" ht="16.5" customHeight="1" s="56">
      <c r="A567" s="60" t="n">
        <v>46149</v>
      </c>
      <c r="B567" s="53" t="n">
        <v>41259.96</v>
      </c>
      <c r="C567" s="53" t="n">
        <v>42156.06</v>
      </c>
      <c r="D567" s="53" t="n">
        <v>41259.96</v>
      </c>
      <c r="E567" s="53" t="n">
        <v>41933.78</v>
      </c>
      <c r="F567" s="53" t="n">
        <v>673.8200000000001</v>
      </c>
      <c r="G567" s="54" t="n">
        <v>35862.14</v>
      </c>
      <c r="H567" s="55">
        <f>E567-G567</f>
        <v/>
      </c>
      <c r="I567" s="34">
        <f>H567/1000</f>
        <v/>
      </c>
      <c r="J567" s="34">
        <f>AVERAGE(I566:I567)</f>
        <v/>
      </c>
    </row>
    <row r="568" ht="16.5" customHeight="1" s="56">
      <c r="A568" s="60" t="n">
        <v>46150</v>
      </c>
      <c r="B568" s="53" t="n">
        <v>41886.03</v>
      </c>
      <c r="C568" s="53" t="n">
        <v>42038.6</v>
      </c>
      <c r="D568" s="53" t="n">
        <v>41132.25</v>
      </c>
      <c r="E568" s="53" t="n">
        <v>41603.94</v>
      </c>
      <c r="F568" s="53" t="n">
        <v>-282.09</v>
      </c>
      <c r="G568" s="54" t="n">
        <v>35862.14</v>
      </c>
      <c r="H568" s="55">
        <f>E568-G568</f>
        <v/>
      </c>
      <c r="I568" s="34">
        <f>H568/1000</f>
        <v/>
      </c>
      <c r="J568" s="34">
        <f>AVERAGE(I567:I568)</f>
        <v/>
      </c>
    </row>
    <row r="569" ht="16.5" customHeight="1" s="56">
      <c r="A569" s="60" t="n">
        <v>46153</v>
      </c>
      <c r="B569" s="53" t="n">
        <v>41714</v>
      </c>
      <c r="C569" s="53" t="n">
        <v>42021.78</v>
      </c>
      <c r="D569" s="53" t="n">
        <v>41529.25</v>
      </c>
      <c r="E569" s="53" t="n">
        <v>41790.06</v>
      </c>
      <c r="F569" s="53" t="n">
        <v>76.06</v>
      </c>
      <c r="G569" s="54" t="n">
        <v>35862.14</v>
      </c>
      <c r="H569" s="55">
        <f>E569-G569</f>
        <v/>
      </c>
      <c r="I569" s="34">
        <f>H569/1000</f>
        <v/>
      </c>
      <c r="J569" s="34">
        <f>AVERAGE(I568:I569)</f>
        <v/>
      </c>
    </row>
    <row r="570" ht="16.5" customHeight="1" s="56">
      <c r="A570" s="60" t="n">
        <v>46154</v>
      </c>
      <c r="B570" s="53" t="n">
        <v>41880.66</v>
      </c>
      <c r="C570" s="53" t="n">
        <v>42253.42</v>
      </c>
      <c r="D570" s="53" t="n">
        <v>41471.57</v>
      </c>
      <c r="E570" s="53" t="n">
        <v>41898.32</v>
      </c>
      <c r="F570" s="53" t="n">
        <v>17.66</v>
      </c>
      <c r="G570" s="54" t="n">
        <v>35862.14</v>
      </c>
      <c r="H570" s="55">
        <f>E570-G570</f>
        <v/>
      </c>
      <c r="I570" s="34">
        <f>H570/1000</f>
        <v/>
      </c>
      <c r="J570" s="34">
        <f>AVERAGE(I569:I570)</f>
        <v/>
      </c>
    </row>
    <row r="571" ht="16.5" customHeight="1" s="56">
      <c r="A571" s="60" t="n">
        <v>46155</v>
      </c>
      <c r="B571" s="53" t="n">
        <v>41795.92</v>
      </c>
      <c r="C571" s="53" t="n">
        <v>41795.92</v>
      </c>
      <c r="D571" s="53" t="n">
        <v>41014.53</v>
      </c>
      <c r="E571" s="53" t="n">
        <v>41374.5</v>
      </c>
      <c r="F571" s="53" t="n">
        <v>-421.42</v>
      </c>
      <c r="G571" s="54" t="n">
        <v>35862.14</v>
      </c>
      <c r="H571" s="55">
        <f>E571-G571</f>
        <v/>
      </c>
      <c r="I571" s="34">
        <f>H571/1000</f>
        <v/>
      </c>
      <c r="J571" s="34">
        <f>AVERAGE(I570:I571)</f>
        <v/>
      </c>
    </row>
    <row r="572" ht="16.5" customHeight="1" s="56">
      <c r="A572" s="60" t="n">
        <v>46156</v>
      </c>
      <c r="B572" s="53" t="n">
        <v>41496.23</v>
      </c>
      <c r="C572" s="53" t="n">
        <v>42205.62</v>
      </c>
      <c r="D572" s="53" t="n">
        <v>41496.23</v>
      </c>
      <c r="E572" s="53" t="n">
        <v>41751.75</v>
      </c>
      <c r="F572" s="53" t="n">
        <v>255.52</v>
      </c>
      <c r="G572" s="54" t="n">
        <v>35862.14</v>
      </c>
      <c r="H572" s="55">
        <f>E572-G572</f>
        <v/>
      </c>
      <c r="I572" s="34">
        <f>H572/1000</f>
        <v/>
      </c>
      <c r="J572" s="34">
        <f>AVERAGE(I571:I572)</f>
        <v/>
      </c>
    </row>
    <row r="573">
      <c r="A573" s="62" t="n">
        <v>46157</v>
      </c>
      <c r="B573" s="0" t="n">
        <v>41830.42</v>
      </c>
      <c r="C573" s="0" t="n">
        <v>42408.66</v>
      </c>
      <c r="D573" s="0" t="n">
        <v>41016.73</v>
      </c>
      <c r="E573" s="0" t="n">
        <v>41172.36</v>
      </c>
      <c r="F573" s="0" t="n">
        <v>-579.39</v>
      </c>
      <c r="G573" s="0" t="n">
        <v>35862.14</v>
      </c>
      <c r="H573" s="55">
        <f>E573-G573</f>
        <v/>
      </c>
      <c r="I573" s="34">
        <f>H573/1000</f>
        <v/>
      </c>
      <c r="J573" s="34">
        <f>AVERAGE(I572:I573)</f>
        <v/>
      </c>
    </row>
    <row r="574">
      <c r="A574" s="62" t="n">
        <v>46160</v>
      </c>
      <c r="B574" s="0" t="n">
        <v>41095.82</v>
      </c>
      <c r="C574" s="0" t="n">
        <v>41095.82</v>
      </c>
      <c r="D574" s="0" t="n">
        <v>40170.17</v>
      </c>
      <c r="E574" s="0" t="n">
        <v>40891.82</v>
      </c>
      <c r="F574" s="0" t="n">
        <v>-280.54</v>
      </c>
      <c r="G574" s="0" t="n">
        <v>35862.14</v>
      </c>
      <c r="H574" s="55">
        <f>E574-G574</f>
        <v/>
      </c>
      <c r="I574" s="34">
        <f>H574/1000</f>
        <v/>
      </c>
      <c r="J574" s="34">
        <f>AVERAGE(I573:I574)</f>
        <v/>
      </c>
    </row>
    <row r="575">
      <c r="A575" s="62" t="n">
        <v>46161</v>
      </c>
      <c r="B575" s="0" t="n">
        <v>40883.42</v>
      </c>
      <c r="C575" s="0" t="n">
        <v>40951.56</v>
      </c>
      <c r="D575" s="0" t="n">
        <v>40168.51</v>
      </c>
      <c r="E575" s="0" t="n">
        <v>40175.56</v>
      </c>
      <c r="F575" s="0" t="n">
        <v>-716.26</v>
      </c>
      <c r="G575" s="0" t="n">
        <v>35862.14</v>
      </c>
      <c r="H575" s="55">
        <f>E575-G575</f>
        <v/>
      </c>
      <c r="I575" s="34">
        <f>H575/1000</f>
        <v/>
      </c>
      <c r="J575" s="34">
        <f>AVERAGE(I574:I575)</f>
        <v/>
      </c>
    </row>
    <row r="576">
      <c r="A576" s="62" t="n">
        <v>46162</v>
      </c>
      <c r="B576" s="0" t="n">
        <v>40204.16</v>
      </c>
      <c r="C576" s="0" t="n">
        <v>40439.04</v>
      </c>
      <c r="D576" s="0" t="n">
        <v>39967.08</v>
      </c>
      <c r="E576" s="0" t="n">
        <v>40020.82</v>
      </c>
      <c r="F576" s="0" t="n">
        <v>-154.74</v>
      </c>
      <c r="G576" s="0" t="n">
        <v>35862.14</v>
      </c>
      <c r="H576" s="55">
        <f>E576-G576</f>
        <v/>
      </c>
      <c r="I576" s="34">
        <f>H576/1000</f>
        <v/>
      </c>
      <c r="J576" s="34">
        <f>AVERAGE(I575:I576)</f>
        <v/>
      </c>
    </row>
    <row r="577">
      <c r="A577" s="62" t="n">
        <v>46163</v>
      </c>
      <c r="B577" s="0" t="n">
        <v>40263.18</v>
      </c>
      <c r="C577" s="0" t="n">
        <v>41606.91</v>
      </c>
      <c r="D577" s="0" t="n">
        <v>40263.18</v>
      </c>
      <c r="E577" s="0" t="n">
        <v>41368.21</v>
      </c>
      <c r="F577" s="0" t="n">
        <v>1347.39</v>
      </c>
      <c r="G577" s="0" t="n">
        <v>35862.14</v>
      </c>
      <c r="H577" s="55">
        <f>E577-G577</f>
        <v/>
      </c>
      <c r="I577" s="34">
        <f>H577/1000</f>
        <v/>
      </c>
      <c r="J577" s="34">
        <f>AVERAGE(I576:I577)</f>
        <v/>
      </c>
    </row>
    <row r="578">
      <c r="A578" s="62" t="n">
        <v>46164</v>
      </c>
      <c r="B578" s="0" t="n">
        <v>41447.92</v>
      </c>
      <c r="C578" s="0" t="n">
        <v>42357.6</v>
      </c>
      <c r="D578" s="0" t="n">
        <v>41447.92</v>
      </c>
      <c r="E578" s="0" t="n">
        <v>42267.97</v>
      </c>
      <c r="F578" s="0" t="n">
        <v>899.76</v>
      </c>
      <c r="G578" s="0" t="n">
        <v>35862.14</v>
      </c>
      <c r="H578" s="55">
        <f>E578-G578</f>
        <v/>
      </c>
      <c r="I578" s="34">
        <f>H578/1000</f>
        <v/>
      </c>
      <c r="J578" s="34">
        <f>AVERAGE(I577:I578)</f>
        <v/>
      </c>
    </row>
    <row r="579">
      <c r="A579" s="62" t="n">
        <v>46167</v>
      </c>
      <c r="B579" s="0" t="n">
        <v>42667.87</v>
      </c>
      <c r="C579" s="0" t="n">
        <v>43645.78</v>
      </c>
      <c r="D579" s="0" t="n">
        <v>42667.87</v>
      </c>
      <c r="E579" s="0" t="n">
        <v>43644.4</v>
      </c>
      <c r="F579" s="0" t="n">
        <v>1376.43</v>
      </c>
      <c r="G579" s="0" t="n">
        <v>35862.14</v>
      </c>
      <c r="H579" s="55">
        <f>E579-G579</f>
        <v/>
      </c>
      <c r="I579" s="34">
        <f>H579/1000</f>
        <v/>
      </c>
      <c r="J579" s="34">
        <f>AVERAGE(I578:I579)</f>
        <v/>
      </c>
    </row>
    <row r="580">
      <c r="A580" s="62" t="n">
        <v>46168</v>
      </c>
      <c r="B580" s="0" t="n">
        <v>43708.89</v>
      </c>
      <c r="C580" s="0" t="n">
        <v>44097.63</v>
      </c>
      <c r="D580" s="0" t="n">
        <v>43349.77</v>
      </c>
      <c r="E580" s="0" t="n">
        <v>43525.37</v>
      </c>
      <c r="F580" s="0" t="n">
        <v>-119.03</v>
      </c>
      <c r="G580" s="0" t="n">
        <v>35862.14</v>
      </c>
      <c r="H580" s="55">
        <f>E580-G580</f>
        <v/>
      </c>
      <c r="I580" s="34">
        <f>H580/1000</f>
        <v/>
      </c>
      <c r="J580" s="34">
        <f>AVERAGE(I579:I580)</f>
        <v/>
      </c>
    </row>
    <row r="581">
      <c r="A581" s="62" t="n">
        <v>46169</v>
      </c>
      <c r="B581" s="0" t="n">
        <v>43842.26</v>
      </c>
      <c r="C581" s="0" t="n">
        <v>44818.25</v>
      </c>
      <c r="D581" s="0" t="n">
        <v>43842.26</v>
      </c>
      <c r="E581" s="0" t="n">
        <v>44256.8</v>
      </c>
      <c r="F581" s="0" t="n">
        <v>731.4299999999999</v>
      </c>
      <c r="G581" s="0" t="n">
        <v>35862.14</v>
      </c>
      <c r="H581" s="55">
        <f>E581-G581</f>
        <v/>
      </c>
      <c r="I581" s="34">
        <f>H581/1000</f>
        <v/>
      </c>
      <c r="J581" s="34">
        <f>AVERAGE(I580:I581)</f>
        <v/>
      </c>
    </row>
    <row r="582">
      <c r="A582" s="62" t="n">
        <v>46170</v>
      </c>
      <c r="B582" s="0" t="n">
        <v>44240.8</v>
      </c>
      <c r="C582" s="0" t="n">
        <v>44954.09</v>
      </c>
      <c r="D582" s="0" t="n">
        <v>43236.36</v>
      </c>
      <c r="E582" s="0" t="n">
        <v>43636.44</v>
      </c>
      <c r="F582" s="0" t="n">
        <v>-620.36</v>
      </c>
      <c r="G582" s="0" t="n">
        <v>35862.14</v>
      </c>
      <c r="H582" s="55">
        <f>E582-G582</f>
        <v/>
      </c>
      <c r="I582" s="34">
        <f>H582/1000</f>
        <v/>
      </c>
      <c r="J582" s="34">
        <f>AVERAGE(I581:I582)</f>
        <v/>
      </c>
    </row>
    <row r="583">
      <c r="A583" s="62" t="n">
        <v>46171</v>
      </c>
      <c r="B583" s="0" t="n">
        <v>43815.48</v>
      </c>
      <c r="C583" s="0" t="n">
        <v>44933.95</v>
      </c>
      <c r="D583" s="0" t="n">
        <v>43815.48</v>
      </c>
      <c r="E583" s="0" t="n">
        <v>44732.94</v>
      </c>
      <c r="F583" s="0" t="n">
        <v>1096.5</v>
      </c>
      <c r="G583" s="0" t="n">
        <v>35862.14</v>
      </c>
      <c r="H583" s="55">
        <f>E583-G583</f>
        <v/>
      </c>
      <c r="I583" s="34">
        <f>H583/1000</f>
        <v/>
      </c>
      <c r="J583" s="34">
        <f>AVERAGE(I582:I583)</f>
        <v/>
      </c>
    </row>
    <row r="584">
      <c r="A584" s="62" t="n">
        <v>46174</v>
      </c>
      <c r="B584" s="0" t="n">
        <v>44872.82</v>
      </c>
      <c r="C584" s="0" t="n">
        <v>45931.1</v>
      </c>
      <c r="D584" s="0" t="n">
        <v>44872.82</v>
      </c>
      <c r="E584" s="0" t="n">
        <v>45337.91</v>
      </c>
      <c r="F584" s="0" t="n">
        <v>604.97</v>
      </c>
      <c r="G584" s="0" t="n">
        <v>38423.21</v>
      </c>
      <c r="H584" s="55">
        <f>E584-G584</f>
        <v/>
      </c>
      <c r="I584" s="34">
        <f>H584/1000</f>
        <v/>
      </c>
      <c r="J584" s="34">
        <f>AVERAGE(I583:I584)</f>
        <v/>
      </c>
    </row>
    <row r="585">
      <c r="A585" s="62" t="n">
        <v>46175</v>
      </c>
      <c r="B585" s="0" t="n">
        <v>45388.93</v>
      </c>
      <c r="C585" s="0" t="n">
        <v>45915.92</v>
      </c>
      <c r="D585" s="0" t="n">
        <v>44869.38</v>
      </c>
      <c r="E585" s="0" t="n">
        <v>45557.31</v>
      </c>
      <c r="F585" s="0" t="n">
        <v>219.4</v>
      </c>
      <c r="G585" s="0" t="n">
        <v>38423.21</v>
      </c>
      <c r="H585" s="55">
        <f>E585-G585</f>
        <v/>
      </c>
      <c r="I585" s="34">
        <f>H585/1000</f>
        <v/>
      </c>
      <c r="J585" s="34">
        <f>AVERAGE(I584:I585)</f>
        <v/>
      </c>
    </row>
    <row r="586">
      <c r="A586" s="62" t="n">
        <v>46176</v>
      </c>
      <c r="B586" s="0" t="n">
        <v>45660.46</v>
      </c>
      <c r="C586" s="0" t="n">
        <v>46552.16</v>
      </c>
      <c r="D586" s="0" t="n">
        <v>45660.46</v>
      </c>
      <c r="E586" s="0" t="n">
        <v>46459.16</v>
      </c>
      <c r="F586" s="0" t="n">
        <v>901.85</v>
      </c>
      <c r="G586" s="0" t="n">
        <v>38423.21</v>
      </c>
      <c r="H586" s="55">
        <f>E586-G586</f>
        <v/>
      </c>
      <c r="I586" s="34">
        <f>H586/1000</f>
        <v/>
      </c>
      <c r="J586" s="34">
        <f>AVERAGE(I585:I586)</f>
        <v/>
      </c>
    </row>
    <row r="587">
      <c r="A587" s="62" t="n">
        <v>46177</v>
      </c>
      <c r="B587" s="0" t="n">
        <v>46364.07</v>
      </c>
      <c r="C587" s="0" t="n">
        <v>46364.07</v>
      </c>
      <c r="D587" s="0" t="n">
        <v>45677.46</v>
      </c>
      <c r="E587" s="0" t="n">
        <v>45677.46</v>
      </c>
      <c r="F587" s="0" t="n">
        <v>-781.7</v>
      </c>
      <c r="G587" s="0" t="n">
        <v>38423.21</v>
      </c>
      <c r="H587" s="55">
        <f>E587-G587</f>
        <v/>
      </c>
      <c r="I587" s="34">
        <f>H587/1000</f>
        <v/>
      </c>
      <c r="J587" s="34">
        <f>AVERAGE(I586:I587)</f>
        <v/>
      </c>
    </row>
    <row r="588">
      <c r="A588" s="62" t="n">
        <v>46178</v>
      </c>
      <c r="B588" s="0" t="n">
        <v>45619.82</v>
      </c>
      <c r="C588" s="0" t="n">
        <v>45619.82</v>
      </c>
      <c r="D588" s="0" t="n">
        <v>44209.53</v>
      </c>
      <c r="E588" s="0" t="n">
        <v>45070.94</v>
      </c>
      <c r="F588" s="0" t="n">
        <v>-606.52</v>
      </c>
      <c r="G588" s="0" t="n">
        <v>38423.21</v>
      </c>
      <c r="H588" s="55">
        <f>E588-G588</f>
        <v/>
      </c>
      <c r="I588" s="34">
        <f>H588/1000</f>
        <v/>
      </c>
      <c r="J588" s="34">
        <f>AVERAGE(I587:I588)</f>
        <v/>
      </c>
    </row>
    <row r="589">
      <c r="A589" s="62" t="n">
        <v>46181</v>
      </c>
      <c r="B589" s="0" t="n">
        <v>44507.49</v>
      </c>
      <c r="C589" s="0" t="n">
        <v>44507.49</v>
      </c>
      <c r="D589" s="0" t="n">
        <v>42376.86</v>
      </c>
      <c r="E589" s="0" t="n">
        <v>43502.78</v>
      </c>
      <c r="F589" s="0" t="n">
        <v>-1568.16</v>
      </c>
      <c r="G589" s="0" t="n">
        <v>38423.21</v>
      </c>
      <c r="H589" s="55">
        <f>E589-G589</f>
        <v/>
      </c>
      <c r="I589" s="34">
        <f>H589/1000</f>
        <v/>
      </c>
      <c r="J589" s="34">
        <f>AVERAGE(I588:I589)</f>
        <v/>
      </c>
    </row>
    <row r="590">
      <c r="A590" s="62" t="n">
        <v>46182</v>
      </c>
      <c r="B590" s="0" t="n">
        <v>43687.62</v>
      </c>
      <c r="C590" s="0" t="n">
        <v>44821.71</v>
      </c>
      <c r="D590" s="0" t="n">
        <v>43687.62</v>
      </c>
      <c r="E590" s="0" t="n">
        <v>44704.44</v>
      </c>
      <c r="F590" s="0" t="n">
        <v>1201.66</v>
      </c>
      <c r="G590" s="0" t="n">
        <v>38423.21</v>
      </c>
      <c r="H590" s="55">
        <f>E590-G590</f>
        <v/>
      </c>
      <c r="I590" s="34">
        <f>H590/1000</f>
        <v/>
      </c>
      <c r="J590" s="34">
        <f>AVERAGE(I589:I590)</f>
        <v/>
      </c>
    </row>
    <row r="591">
      <c r="A591" s="62" t="n">
        <v>46183</v>
      </c>
      <c r="B591" s="0" t="n">
        <v>44581.45</v>
      </c>
      <c r="C591" s="0" t="n">
        <v>44676.49</v>
      </c>
      <c r="D591" s="0" t="n">
        <v>43225.54</v>
      </c>
      <c r="E591" s="0" t="n">
        <v>43225.54</v>
      </c>
      <c r="F591" s="0" t="n">
        <v>-1478.9</v>
      </c>
      <c r="G591" s="0" t="n">
        <v>38423.21</v>
      </c>
      <c r="H591" s="55">
        <f>E591-G591</f>
        <v/>
      </c>
      <c r="I591" s="34">
        <f>H591/1000</f>
        <v/>
      </c>
      <c r="J591" s="34">
        <f>AVERAGE(I590:I591)</f>
        <v/>
      </c>
    </row>
    <row r="592">
      <c r="A592" s="62" t="n">
        <v>46184</v>
      </c>
      <c r="B592" s="0" t="n">
        <v>43172.21</v>
      </c>
      <c r="C592" s="0" t="n">
        <v>43463.03</v>
      </c>
      <c r="D592" s="0" t="n">
        <v>42006.39</v>
      </c>
      <c r="E592" s="0" t="n">
        <v>43149.46</v>
      </c>
      <c r="F592" s="0" t="n">
        <v>-76.08</v>
      </c>
      <c r="G592" s="0" t="n">
        <v>38423.21</v>
      </c>
      <c r="H592" s="55">
        <f>E592-G592</f>
        <v/>
      </c>
      <c r="I592" s="34">
        <f>H592/1000</f>
        <v/>
      </c>
      <c r="J592" s="34">
        <f>AVERAGE(I591:I592)</f>
        <v/>
      </c>
    </row>
    <row r="593">
      <c r="A593" s="62" t="n">
        <v>46185</v>
      </c>
      <c r="B593" s="0" t="n">
        <v>43587.63</v>
      </c>
      <c r="C593" s="0" t="n">
        <v>44798.88</v>
      </c>
      <c r="D593" s="0" t="n">
        <v>43587.63</v>
      </c>
      <c r="E593" s="0" t="n">
        <v>44169.04</v>
      </c>
      <c r="F593" s="0" t="n">
        <v>1019.58</v>
      </c>
      <c r="G593" s="0" t="n">
        <v>38423.21</v>
      </c>
      <c r="H593" s="55">
        <f>E593-G593</f>
        <v/>
      </c>
      <c r="I593" s="34">
        <f>H593/1000</f>
        <v/>
      </c>
      <c r="J593" s="34">
        <f>AVERAGE(I592:I593)</f>
        <v/>
      </c>
    </row>
    <row r="594">
      <c r="A594" s="62" t="n">
        <v>46188</v>
      </c>
      <c r="B594" s="0" t="n">
        <v>44447.87</v>
      </c>
      <c r="C594" s="0" t="n">
        <v>45483.63</v>
      </c>
      <c r="D594" s="0" t="n">
        <v>44447.87</v>
      </c>
      <c r="E594" s="0" t="n">
        <v>45396.99</v>
      </c>
      <c r="F594" s="0" t="n">
        <v>1227.95</v>
      </c>
      <c r="G594" s="0" t="n">
        <v>38423.21</v>
      </c>
      <c r="H594" s="55">
        <f>E594-G594</f>
        <v/>
      </c>
      <c r="I594" s="34">
        <f>H594/1000</f>
        <v/>
      </c>
      <c r="J594" s="34">
        <f>AVERAGE(I593:I594)</f>
        <v/>
      </c>
    </row>
    <row r="595">
      <c r="A595" s="62" t="n">
        <v>46189</v>
      </c>
      <c r="B595" s="0" t="n">
        <v>45500.08</v>
      </c>
      <c r="C595" s="0" t="n">
        <v>45809.19</v>
      </c>
      <c r="D595" s="0" t="n">
        <v>45266.34</v>
      </c>
      <c r="E595" s="0" t="n">
        <v>45809.19</v>
      </c>
      <c r="F595" s="0" t="n">
        <v>412.2</v>
      </c>
      <c r="G595" s="0" t="n">
        <v>38423.21</v>
      </c>
      <c r="H595" s="55">
        <f>E595-G595</f>
        <v/>
      </c>
      <c r="I595" s="34">
        <f>H595/1000</f>
        <v/>
      </c>
      <c r="J595" s="34">
        <f>AVERAGE(I594:I595)</f>
        <v/>
      </c>
    </row>
    <row r="596">
      <c r="A596" s="62" t="n">
        <v>46190</v>
      </c>
      <c r="B596" s="0" t="n">
        <v>45685.27</v>
      </c>
      <c r="C596" s="0" t="n">
        <v>45877.39</v>
      </c>
      <c r="D596" s="0" t="n">
        <v>45159.51</v>
      </c>
      <c r="E596" s="0" t="n">
        <v>45877.39</v>
      </c>
      <c r="F596" s="0" t="n">
        <v>68.2</v>
      </c>
      <c r="G596" s="0" t="n">
        <v>38423.21</v>
      </c>
      <c r="H596" s="55">
        <f>E596-G596</f>
        <v/>
      </c>
      <c r="I596" s="34">
        <f>H596/1000</f>
        <v/>
      </c>
      <c r="J596" s="34">
        <f>AVERAGE(I595:I596)</f>
        <v/>
      </c>
    </row>
    <row r="597">
      <c r="A597" s="62" t="n">
        <v>46191</v>
      </c>
      <c r="B597" s="0" t="n">
        <v>45972.26</v>
      </c>
      <c r="C597" s="0" t="n">
        <v>46565.7</v>
      </c>
      <c r="D597" s="0" t="n">
        <v>45972.26</v>
      </c>
      <c r="E597" s="0" t="n">
        <v>46465.2</v>
      </c>
      <c r="F597" s="0" t="n">
        <v>587.8099999999999</v>
      </c>
      <c r="G597" s="0" t="n">
        <v>38423.21</v>
      </c>
      <c r="H597" s="55">
        <f>E597-G597</f>
        <v/>
      </c>
      <c r="I597" s="34">
        <f>H597/1000</f>
        <v/>
      </c>
      <c r="J597" s="34">
        <f>AVERAGE(I596:I597)</f>
        <v/>
      </c>
    </row>
    <row r="598">
      <c r="A598" s="62" t="n">
        <v>46195</v>
      </c>
      <c r="B598" s="0" t="n">
        <v>46679.57</v>
      </c>
      <c r="C598" s="0" t="n">
        <v>47871.19</v>
      </c>
      <c r="D598" s="0" t="n">
        <v>46679.57</v>
      </c>
      <c r="E598" s="0" t="n">
        <v>47741.51</v>
      </c>
      <c r="F598" s="0" t="n">
        <v>1276.31</v>
      </c>
      <c r="G598" s="0" t="n">
        <v>38423.21</v>
      </c>
      <c r="H598" s="55">
        <f>E598-G598</f>
        <v/>
      </c>
      <c r="I598" s="34">
        <f>H598/1000</f>
        <v/>
      </c>
      <c r="J598" s="34">
        <f>AVERAGE(I597:I598)</f>
        <v/>
      </c>
    </row>
    <row r="599">
      <c r="A599" s="62" t="n">
        <v>46196</v>
      </c>
      <c r="B599" s="0" t="n">
        <v>47795.09</v>
      </c>
      <c r="C599" s="0" t="n">
        <v>48218.87</v>
      </c>
      <c r="D599" s="0" t="n">
        <v>47100.65</v>
      </c>
      <c r="E599" s="0" t="n">
        <v>47100.65</v>
      </c>
      <c r="F599" s="0" t="n">
        <v>-640.86</v>
      </c>
      <c r="G599" s="0" t="n">
        <v>38423.21</v>
      </c>
      <c r="H599" s="55">
        <f>E599-G599</f>
        <v/>
      </c>
      <c r="I599" s="34">
        <f>H599/1000</f>
        <v/>
      </c>
      <c r="J599" s="34">
        <f>AVERAGE(I598:I599)</f>
        <v/>
      </c>
    </row>
    <row r="600">
      <c r="A600" s="62" t="n">
        <v>46197</v>
      </c>
      <c r="B600" s="0" t="n">
        <v>46909.98</v>
      </c>
      <c r="C600" s="0" t="n">
        <v>46909.98</v>
      </c>
      <c r="D600" s="0" t="n">
        <v>45819.71</v>
      </c>
      <c r="E600" s="0" t="n">
        <v>46043.6</v>
      </c>
      <c r="F600" s="0" t="n">
        <v>-1057.05</v>
      </c>
      <c r="G600" s="0" t="n">
        <v>38423.21</v>
      </c>
      <c r="H600" s="55">
        <f>E600-G600</f>
        <v/>
      </c>
      <c r="I600" s="34">
        <f>H600/1000</f>
        <v/>
      </c>
      <c r="J600" s="34">
        <f>AVERAGE(I599:I600)</f>
        <v/>
      </c>
    </row>
    <row r="601">
      <c r="A601" s="62" t="n">
        <v>46198</v>
      </c>
      <c r="B601" s="0" t="n">
        <v>46339.68</v>
      </c>
      <c r="C601" s="0" t="n">
        <v>46785.45</v>
      </c>
      <c r="D601" s="0" t="n">
        <v>46048.7</v>
      </c>
      <c r="E601" s="0" t="n">
        <v>46255.26</v>
      </c>
      <c r="F601" s="0" t="n">
        <v>211.66</v>
      </c>
      <c r="G601" s="0" t="n">
        <v>38423.21</v>
      </c>
      <c r="H601" s="55">
        <f>E601-G601</f>
        <v/>
      </c>
      <c r="I601" s="34">
        <f>H601/1000</f>
        <v/>
      </c>
      <c r="J601" s="34">
        <f>AVERAGE(I600:I601)</f>
        <v/>
      </c>
    </row>
    <row r="602">
      <c r="A602" s="62" t="n">
        <v>46199</v>
      </c>
      <c r="B602" s="0" t="n">
        <v>46188.6</v>
      </c>
      <c r="C602" s="0" t="n">
        <v>46188.6</v>
      </c>
      <c r="D602" s="0" t="n">
        <v>44454.22</v>
      </c>
      <c r="E602" s="0" t="n">
        <v>44571.76</v>
      </c>
      <c r="F602" s="0" t="n">
        <v>-1683.5</v>
      </c>
      <c r="G602" s="0" t="n">
        <v>38423.21</v>
      </c>
      <c r="H602" s="55">
        <f>E602-G602</f>
        <v/>
      </c>
      <c r="I602" s="34">
        <f>H602/1000</f>
        <v/>
      </c>
      <c r="J602" s="34">
        <f>AVERAGE(I601:I602)</f>
        <v/>
      </c>
    </row>
    <row r="603">
      <c r="A603" s="62" t="n">
        <v>46202</v>
      </c>
      <c r="B603" s="0" t="n">
        <v>44594.81</v>
      </c>
      <c r="C603" s="0" t="n">
        <v>45521.63</v>
      </c>
      <c r="D603" s="0" t="n">
        <v>44594.81</v>
      </c>
      <c r="E603" s="0" t="n">
        <v>44999.9</v>
      </c>
      <c r="F603" s="0" t="n">
        <v>428.14</v>
      </c>
      <c r="G603" s="0" t="n">
        <v>38423.21</v>
      </c>
      <c r="H603" s="55">
        <f>E603-G603</f>
        <v/>
      </c>
      <c r="I603" s="34">
        <f>H603/1000</f>
        <v/>
      </c>
      <c r="J603" s="34">
        <f>AVERAGE(I602:I603)</f>
        <v/>
      </c>
    </row>
    <row r="604">
      <c r="A604" s="62" t="n">
        <v>46203</v>
      </c>
      <c r="B604" s="0" t="n">
        <v>45165.8</v>
      </c>
      <c r="C604" s="0" t="n">
        <v>46637.86</v>
      </c>
      <c r="D604" s="0" t="n">
        <v>45165.8</v>
      </c>
      <c r="E604" s="0" t="n">
        <v>46125.91</v>
      </c>
      <c r="F604" s="0" t="n">
        <v>1126.01</v>
      </c>
      <c r="G604" s="0" t="n">
        <v>38423.21</v>
      </c>
      <c r="H604" s="55">
        <f>E604-G604</f>
        <v/>
      </c>
      <c r="I604" s="34">
        <f>H604/1000</f>
        <v/>
      </c>
      <c r="J604" s="34">
        <f>AVERAGE(I603:I604)</f>
        <v/>
      </c>
    </row>
    <row r="605">
      <c r="A605" s="62" t="n">
        <v>46204</v>
      </c>
      <c r="B605" s="0" t="n">
        <v>46234.7</v>
      </c>
      <c r="C605" s="0" t="n">
        <v>47293.1</v>
      </c>
      <c r="D605" s="0" t="n">
        <v>46234.7</v>
      </c>
      <c r="E605" s="0" t="n">
        <v>47018.99</v>
      </c>
      <c r="F605" s="0" t="n">
        <v>893.08</v>
      </c>
      <c r="G605" s="0" t="n">
        <v>43723.63</v>
      </c>
      <c r="H605" s="55">
        <f>E605-G605</f>
        <v/>
      </c>
      <c r="I605" s="34">
        <f>H605/1000</f>
        <v/>
      </c>
      <c r="J605" s="34">
        <f>AVERAGE(I604:I605)</f>
        <v/>
      </c>
    </row>
    <row r="606">
      <c r="A606" s="62" t="n">
        <v>46205</v>
      </c>
      <c r="B606" s="0" t="n">
        <v>46833.89</v>
      </c>
      <c r="C606" s="0" t="n">
        <v>46910.31</v>
      </c>
      <c r="D606" s="0" t="n">
        <v>45981.89</v>
      </c>
      <c r="E606" s="0" t="n">
        <v>46744.16</v>
      </c>
      <c r="F606" s="0" t="n">
        <v>-274.83</v>
      </c>
      <c r="G606" s="0" t="n">
        <v>43723.63</v>
      </c>
      <c r="H606" s="55">
        <f>E606-G606</f>
        <v/>
      </c>
      <c r="I606" s="34">
        <f>H606/1000</f>
        <v/>
      </c>
      <c r="J606" s="34">
        <f>AVERAGE(I605:I606)</f>
        <v/>
      </c>
    </row>
    <row r="607">
      <c r="A607" s="62" t="n">
        <v>46206</v>
      </c>
      <c r="B607" s="0" t="n">
        <v>46545.14</v>
      </c>
      <c r="C607" s="0" t="n">
        <v>46948.83</v>
      </c>
      <c r="D607" s="0" t="n">
        <v>45880.69</v>
      </c>
      <c r="E607" s="0" t="n">
        <v>46780.62</v>
      </c>
      <c r="F607" s="0" t="n">
        <v>36.46</v>
      </c>
      <c r="G607" s="0" t="n">
        <v>43723.63</v>
      </c>
      <c r="H607" s="55">
        <f>E607-G607</f>
        <v/>
      </c>
      <c r="I607" s="34">
        <f>H607/1000</f>
        <v/>
      </c>
      <c r="J607" s="34">
        <f>AVERAGE(I606:I607)</f>
        <v/>
      </c>
    </row>
    <row r="608">
      <c r="A608" s="62" t="n">
        <v>46209</v>
      </c>
      <c r="B608" s="0" t="n">
        <v>46897.18</v>
      </c>
      <c r="C608" s="0" t="n">
        <v>47395.3</v>
      </c>
      <c r="D608" s="0" t="n">
        <v>46431.38</v>
      </c>
      <c r="E608" s="0" t="n">
        <v>46556.39</v>
      </c>
      <c r="F608" s="0" t="n">
        <v>-224.23</v>
      </c>
      <c r="G608" s="0" t="n">
        <v>43723.63</v>
      </c>
      <c r="H608" s="55">
        <f>E608-G608</f>
        <v/>
      </c>
      <c r="I608" s="34">
        <f>H608/1000</f>
        <v/>
      </c>
      <c r="J608" s="34">
        <f>AVERAGE(I607:I608)</f>
        <v/>
      </c>
    </row>
    <row r="609">
      <c r="A609" s="62" t="n">
        <v>46210</v>
      </c>
      <c r="B609" s="0" t="n">
        <v>46537.34</v>
      </c>
      <c r="C609" s="0" t="n">
        <v>46967.04</v>
      </c>
      <c r="D609" s="0" t="n">
        <v>45432.02</v>
      </c>
      <c r="E609" s="0" t="n">
        <v>45479.11</v>
      </c>
      <c r="F609" s="0" t="n">
        <v>-1077.28</v>
      </c>
      <c r="G609" s="0" t="n">
        <v>43723.63</v>
      </c>
      <c r="H609" s="55">
        <f>E609-G609</f>
        <v/>
      </c>
      <c r="I609" s="34">
        <f>H609/1000</f>
        <v/>
      </c>
      <c r="J609" s="34">
        <f>AVERAGE(I608:I609)</f>
        <v/>
      </c>
    </row>
    <row r="610">
      <c r="A610" s="62" t="n">
        <v>46211</v>
      </c>
      <c r="B610" s="0" t="n">
        <v>45524.69</v>
      </c>
      <c r="C610" s="0" t="n">
        <v>45837.12</v>
      </c>
      <c r="D610" s="0" t="n">
        <v>45036.64</v>
      </c>
      <c r="E610" s="0" t="n">
        <v>45734.41</v>
      </c>
      <c r="F610" s="0" t="n">
        <v>255.3</v>
      </c>
      <c r="G610" s="0" t="n">
        <v>43723.63</v>
      </c>
      <c r="H610" s="55">
        <f>E610-G610</f>
        <v/>
      </c>
      <c r="I610" s="34">
        <f>H610/1000</f>
        <v/>
      </c>
      <c r="J610" s="34">
        <f>AVERAGE(I609:I610)</f>
        <v/>
      </c>
    </row>
    <row r="611">
      <c r="A611" s="62" t="n">
        <v>46212</v>
      </c>
      <c r="B611" s="0" t="n">
        <v>45805.62</v>
      </c>
      <c r="C611" s="0" t="n">
        <v>46064.06</v>
      </c>
      <c r="D611" s="0" t="n">
        <v>45352.41</v>
      </c>
      <c r="E611" s="0" t="n">
        <v>45354.61</v>
      </c>
      <c r="F611" s="0" t="n">
        <v>-379.8</v>
      </c>
      <c r="G611" s="0" t="n">
        <v>43723.63</v>
      </c>
      <c r="H611" s="55">
        <f>E611-G611</f>
        <v/>
      </c>
      <c r="I611" s="34">
        <f>H611/1000</f>
        <v/>
      </c>
      <c r="J611" s="34">
        <f>AVERAGE(I610:I611)</f>
        <v/>
      </c>
    </row>
    <row r="612">
      <c r="A612" s="62" t="n">
        <v>46216</v>
      </c>
      <c r="B612" s="0" t="n">
        <v>45500.32</v>
      </c>
      <c r="C612" s="0" t="n">
        <v>46330.91</v>
      </c>
      <c r="D612" s="0" t="n">
        <v>45272.9</v>
      </c>
      <c r="E612" s="0" t="n">
        <v>45380.52</v>
      </c>
      <c r="F612" s="0" t="n">
        <v>25.91</v>
      </c>
      <c r="G612" s="0" t="n">
        <v>43723.63</v>
      </c>
      <c r="H612" s="55">
        <f>E612-G612</f>
        <v/>
      </c>
      <c r="I612" s="34">
        <f>H612/1000</f>
        <v/>
      </c>
      <c r="J612" s="34">
        <f>AVERAGE(I611:I612)</f>
        <v/>
      </c>
    </row>
    <row r="613">
      <c r="A613" s="62" t="n">
        <v>46217</v>
      </c>
      <c r="B613" s="0" t="n">
        <v>45364.4</v>
      </c>
      <c r="C613" s="0" t="n">
        <v>45364.4</v>
      </c>
      <c r="D613" s="0" t="n">
        <v>43654.04</v>
      </c>
      <c r="E613" s="0" t="n">
        <v>44737.95</v>
      </c>
      <c r="F613" s="0" t="n">
        <v>-642.5700000000001</v>
      </c>
      <c r="G613" s="0" t="n">
        <v>43723.63</v>
      </c>
      <c r="H613" s="55">
        <f>E613-G613</f>
        <v/>
      </c>
      <c r="I613" s="34">
        <f>H613/1000</f>
        <v/>
      </c>
      <c r="J613" s="34">
        <f>AVERAGE(I612:I613)</f>
        <v/>
      </c>
    </row>
    <row r="614">
      <c r="A614" s="62" t="n">
        <v>46218</v>
      </c>
      <c r="B614" s="0" t="n">
        <v>44850.69</v>
      </c>
      <c r="C614" s="0" t="n">
        <v>45881.91</v>
      </c>
      <c r="D614" s="0" t="n">
        <v>44850.69</v>
      </c>
      <c r="E614" s="0" t="n">
        <v>45631.59</v>
      </c>
      <c r="F614" s="0" t="n">
        <v>893.64</v>
      </c>
      <c r="G614" s="0" t="n">
        <v>43723.63</v>
      </c>
      <c r="H614" s="55">
        <f>E614-G614</f>
        <v/>
      </c>
      <c r="I614" s="34">
        <f>H614/1000</f>
        <v/>
      </c>
      <c r="J614" s="34">
        <f>AVERAGE(I613:I614)</f>
        <v/>
      </c>
    </row>
    <row r="615">
      <c r="A615" s="62" t="n">
        <v>46219</v>
      </c>
      <c r="B615" s="0" t="n">
        <v>45511.98</v>
      </c>
      <c r="C615" s="0" t="n">
        <v>45855.02</v>
      </c>
      <c r="D615" s="0" t="n">
        <v>44970.64</v>
      </c>
      <c r="E615" s="0" t="n">
        <v>45624.98</v>
      </c>
      <c r="F615" s="0" t="n">
        <v>-6.61</v>
      </c>
      <c r="G615" s="0" t="n">
        <v>43723.63</v>
      </c>
      <c r="H615" s="55">
        <f>E615-G615</f>
        <v/>
      </c>
      <c r="I615" s="34">
        <f>H615/1000</f>
        <v/>
      </c>
      <c r="J615" s="34">
        <f>AVERAGE(I614:I615)</f>
        <v/>
      </c>
    </row>
    <row r="616">
      <c r="A616" s="62" t="n">
        <v>46220</v>
      </c>
      <c r="B616" s="0" t="n">
        <v>45234.08</v>
      </c>
      <c r="C616" s="0" t="n">
        <v>45234.08</v>
      </c>
      <c r="D616" s="0" t="n">
        <v>42671.27</v>
      </c>
      <c r="E616" s="0" t="n">
        <v>42671.27</v>
      </c>
      <c r="F616" s="0" t="n">
        <v>-2953.71</v>
      </c>
      <c r="G616" s="0" t="n">
        <v>43723.63</v>
      </c>
      <c r="H616" s="55">
        <f>E616-G616</f>
        <v/>
      </c>
      <c r="I616" s="34">
        <f>H616/1000</f>
        <v/>
      </c>
      <c r="J616" s="34">
        <f>AVERAGE(I615:I616)</f>
        <v/>
      </c>
    </row>
    <row r="617">
      <c r="A617" s="62" t="n">
        <v>46223</v>
      </c>
      <c r="B617" s="0" t="n">
        <v>42793.15</v>
      </c>
      <c r="C617" s="0" t="n">
        <v>43084.51</v>
      </c>
      <c r="D617" s="0" t="n">
        <v>41967.75</v>
      </c>
      <c r="E617" s="0" t="n">
        <v>42449.7</v>
      </c>
      <c r="F617" s="0" t="n">
        <v>-221.57</v>
      </c>
      <c r="G617" s="0" t="n">
        <v>43723.63</v>
      </c>
      <c r="H617" s="55">
        <f>E617-G617</f>
        <v/>
      </c>
      <c r="I617" s="34">
        <f>H617/1000</f>
        <v/>
      </c>
      <c r="J617" s="34">
        <f>AVERAGE(I616:I617)</f>
        <v/>
      </c>
    </row>
    <row r="618">
      <c r="A618" s="62" t="n">
        <v>46224</v>
      </c>
      <c r="B618" s="0" t="n">
        <v>42566.93</v>
      </c>
      <c r="C618" s="0" t="n">
        <v>44232.87</v>
      </c>
      <c r="D618" s="0" t="n">
        <v>42566.93</v>
      </c>
      <c r="E618" s="0" t="n">
        <v>44232.87</v>
      </c>
      <c r="F618" s="0" t="n">
        <v>1783.17</v>
      </c>
      <c r="G618" s="0" t="n">
        <v>43723.63</v>
      </c>
      <c r="H618" s="55">
        <f>E618-G618</f>
        <v/>
      </c>
      <c r="I618" s="34">
        <f>H618/1000</f>
        <v/>
      </c>
      <c r="J618" s="34">
        <f>AVERAGE(I617:I618)</f>
        <v/>
      </c>
    </row>
    <row r="619">
      <c r="A619" s="62" t="n">
        <v>46225</v>
      </c>
      <c r="B619" s="0" t="n">
        <v>44513.75</v>
      </c>
      <c r="C619" s="0" t="n">
        <v>45323.75</v>
      </c>
      <c r="D619" s="0" t="n">
        <v>44513.75</v>
      </c>
      <c r="E619" s="0" t="n">
        <v>44825.78</v>
      </c>
      <c r="F619" s="0" t="n">
        <v>592.91</v>
      </c>
      <c r="G619" s="0" t="n">
        <v>43723.63</v>
      </c>
      <c r="H619" s="55">
        <f>E619-G619</f>
        <v/>
      </c>
      <c r="I619" s="34">
        <f>H619/1000</f>
        <v/>
      </c>
      <c r="J619" s="34">
        <f>AVERAGE(I618:I619)</f>
        <v/>
      </c>
    </row>
    <row r="620">
      <c r="A620" s="62" t="n">
        <v>46226</v>
      </c>
      <c r="B620" s="0" t="n">
        <v>44899.04</v>
      </c>
      <c r="C620" s="0" t="n">
        <v>45089.82</v>
      </c>
      <c r="D620" s="0" t="n">
        <v>44340.76</v>
      </c>
      <c r="E620" s="0" t="n">
        <v>44850.81</v>
      </c>
      <c r="F620" s="0" t="n">
        <v>25.03</v>
      </c>
      <c r="G620" s="0" t="n">
        <v>43723.63</v>
      </c>
      <c r="H620" s="55">
        <f>E620-G620</f>
        <v/>
      </c>
      <c r="I620" s="34">
        <f>H620/1000</f>
        <v/>
      </c>
      <c r="J620" s="34">
        <f>AVERAGE(I619:I620)</f>
        <v/>
      </c>
    </row>
    <row r="621">
      <c r="A621" s="62" t="n">
        <v>46227</v>
      </c>
      <c r="B621" s="0" t="n">
        <v>44769.39</v>
      </c>
      <c r="C621" s="0" t="n">
        <v>44769.39</v>
      </c>
      <c r="D621" s="0" t="n">
        <v>43607.4</v>
      </c>
      <c r="E621" s="0" t="n">
        <v>43654.84</v>
      </c>
      <c r="F621" s="0" t="n">
        <v>-1195.97</v>
      </c>
      <c r="G621" s="0" t="n">
        <v>43723.63</v>
      </c>
      <c r="H621" s="55">
        <f>E621-G621</f>
        <v/>
      </c>
      <c r="I621" s="34">
        <f>H621/1000</f>
        <v/>
      </c>
      <c r="J621" s="34">
        <f>AVERAGE(I620:I621)</f>
        <v/>
      </c>
    </row>
    <row r="622">
      <c r="A622" s="62" t="n">
        <v>46230</v>
      </c>
      <c r="B622" s="0" t="n">
        <v>43585.92</v>
      </c>
      <c r="C622" s="0" t="n">
        <v>43686.15</v>
      </c>
      <c r="D622" s="0" t="n">
        <v>42969.48</v>
      </c>
      <c r="E622" s="0" t="n">
        <v>43634.19</v>
      </c>
      <c r="F622" s="0" t="n">
        <v>-20.65</v>
      </c>
      <c r="G622" s="0" t="n">
        <v>43723.63</v>
      </c>
      <c r="H622" s="55">
        <f>E622-G622</f>
        <v/>
      </c>
      <c r="I622" s="34">
        <f>H622/1000</f>
        <v/>
      </c>
      <c r="J622" s="34">
        <f>AVERAGE(I621:I622)</f>
        <v/>
      </c>
    </row>
    <row r="623">
      <c r="A623" s="62" t="n">
        <v>46231</v>
      </c>
      <c r="B623" s="0" t="n">
        <v>43221.93</v>
      </c>
      <c r="C623" s="0" t="n">
        <v>43221.93</v>
      </c>
      <c r="D623" s="0" t="n">
        <v>41565</v>
      </c>
      <c r="E623" s="0" t="n">
        <v>41603.36</v>
      </c>
      <c r="F623" s="0" t="n">
        <v>-2030.83</v>
      </c>
      <c r="G623" s="0" t="n">
        <v>43723.63</v>
      </c>
      <c r="H623" s="55">
        <f>E623-G623</f>
        <v/>
      </c>
      <c r="I623" s="34">
        <f>H623/1000</f>
        <v/>
      </c>
      <c r="J623" s="34">
        <f>AVERAGE(I622:I623)</f>
        <v/>
      </c>
    </row>
    <row r="624">
      <c r="A624" s="62" t="n">
        <v>46232</v>
      </c>
      <c r="B624" s="0" t="n">
        <v>41491.48</v>
      </c>
      <c r="C624" s="0" t="n">
        <v>41698.39</v>
      </c>
      <c r="D624" s="0" t="n">
        <v>39384.85</v>
      </c>
      <c r="E624" s="0" t="n">
        <v>40039.18</v>
      </c>
      <c r="F624" s="0" t="n">
        <v>-1564.18</v>
      </c>
      <c r="G624" s="0" t="n">
        <v>43723.63</v>
      </c>
      <c r="H624" s="55">
        <f>E624-G624</f>
        <v/>
      </c>
      <c r="I624" s="34">
        <f>H624/1000</f>
        <v/>
      </c>
      <c r="J624" s="34">
        <f>AVERAGE(I623:I624)</f>
        <v/>
      </c>
    </row>
    <row r="625">
      <c r="A625" s="62" t="n">
        <v>46233</v>
      </c>
      <c r="B625" s="0" t="n">
        <v>40048.94</v>
      </c>
      <c r="C625" s="0" t="n">
        <v>41155.42</v>
      </c>
      <c r="D625" s="0" t="n">
        <v>39404.65</v>
      </c>
      <c r="E625" s="0" t="n">
        <v>39933.3</v>
      </c>
      <c r="F625" s="0" t="n">
        <v>-105.88</v>
      </c>
      <c r="G625" s="0" t="n">
        <v>43723.63</v>
      </c>
      <c r="H625" s="55">
        <f>E625-G625</f>
        <v/>
      </c>
      <c r="I625" s="34">
        <f>H625/1000</f>
        <v/>
      </c>
      <c r="J625" s="34">
        <f>AVERAGE(I624:I625)</f>
        <v/>
      </c>
    </row>
    <row r="626">
      <c r="A626" s="62" t="n">
        <v>46234</v>
      </c>
      <c r="B626" s="0" t="n">
        <v>41610.41</v>
      </c>
      <c r="C626" s="0" t="n">
        <v>43214.36</v>
      </c>
      <c r="D626" s="0" t="n">
        <v>41610.41</v>
      </c>
      <c r="E626" s="0" t="n">
        <v>43119.75</v>
      </c>
      <c r="F626" s="0" t="n">
        <v>3186.45</v>
      </c>
      <c r="G626" s="0" t="n">
        <v>43723.63</v>
      </c>
      <c r="H626" s="55">
        <f>E626-G626</f>
        <v/>
      </c>
      <c r="I626" s="34">
        <f>H626/1000</f>
        <v/>
      </c>
      <c r="J626" s="34">
        <f>AVERAGE(I625:I626)</f>
        <v/>
      </c>
    </row>
    <row r="627">
      <c r="A627" s="62" t="n">
        <v>46237</v>
      </c>
      <c r="B627" s="0" t="n">
        <v>42780.42</v>
      </c>
      <c r="C627" s="0" t="n">
        <v>43784.19</v>
      </c>
      <c r="D627" s="0" t="n">
        <v>42780.42</v>
      </c>
      <c r="E627" s="0" t="n">
        <v>43386.41</v>
      </c>
      <c r="F627" s="0" t="n">
        <v>266.66</v>
      </c>
      <c r="G627" s="0" t="n">
        <v>43801.86</v>
      </c>
      <c r="H627" s="55">
        <f>E627-G627</f>
        <v/>
      </c>
      <c r="I627" s="34">
        <f>H627/1000</f>
        <v/>
      </c>
      <c r="J627" s="34">
        <f>AVERAGE(I626:I627)</f>
        <v/>
      </c>
    </row>
    <row r="628">
      <c r="A628" s="62" t="n">
        <v>46238</v>
      </c>
      <c r="B628" s="0" t="n">
        <v>43092.49</v>
      </c>
      <c r="C628" s="0" t="n">
        <v>43912.77</v>
      </c>
      <c r="D628" s="0" t="n">
        <v>42895.81</v>
      </c>
      <c r="E628" s="0" t="n">
        <v>43360.66</v>
      </c>
      <c r="F628" s="0" t="n">
        <v>-25.75</v>
      </c>
      <c r="G628" s="0" t="n">
        <v>43801.86</v>
      </c>
      <c r="H628" s="55">
        <f>E628-G628</f>
        <v/>
      </c>
      <c r="I628" s="34">
        <f>H628/1000</f>
        <v/>
      </c>
      <c r="J628" s="34">
        <f>AVERAGE(I627:I628)</f>
        <v/>
      </c>
    </row>
    <row r="629">
      <c r="A629" s="62" t="n">
        <v>46239</v>
      </c>
      <c r="B629" s="0" t="n">
        <v>43809.83</v>
      </c>
      <c r="C629" s="0" t="n">
        <v>44980.31</v>
      </c>
      <c r="D629" s="0" t="n">
        <v>43809.83</v>
      </c>
      <c r="E629" s="0" t="n">
        <v>44611.6</v>
      </c>
      <c r="F629" s="0" t="n">
        <v>1250.94</v>
      </c>
      <c r="G629" s="0" t="n">
        <v>43801.86</v>
      </c>
      <c r="H629" s="55">
        <f>E629-G629</f>
        <v/>
      </c>
      <c r="I629" s="34">
        <f>H629/1000</f>
        <v/>
      </c>
      <c r="J629" s="34">
        <f>AVERAGE(I628:I629)</f>
        <v/>
      </c>
    </row>
    <row r="630">
      <c r="A630" s="62" t="n">
        <v>46240</v>
      </c>
      <c r="B630" s="0" t="n">
        <v>44487.94</v>
      </c>
      <c r="C630" s="0" t="n">
        <v>44601.24</v>
      </c>
      <c r="D630" s="0" t="n">
        <v>44024.32</v>
      </c>
      <c r="E630" s="0" t="n">
        <v>44396.7</v>
      </c>
      <c r="F630" s="0" t="n">
        <v>-214.9</v>
      </c>
      <c r="G630" s="0" t="n">
        <v>43801.86</v>
      </c>
      <c r="H630" s="55">
        <f>E630-G630</f>
        <v/>
      </c>
      <c r="I630" s="34">
        <f>H630/1000</f>
        <v/>
      </c>
      <c r="J630" s="34">
        <f>AVERAGE(I629:I630)</f>
        <v/>
      </c>
    </row>
    <row r="631">
      <c r="A631" s="62" t="n">
        <v>46241</v>
      </c>
      <c r="B631" s="0" t="n">
        <v>44450.19</v>
      </c>
      <c r="C631" s="0" t="n">
        <v>44827.13</v>
      </c>
      <c r="D631" s="0" t="n">
        <v>43941.56</v>
      </c>
      <c r="E631" s="0" t="n">
        <v>44225.91</v>
      </c>
      <c r="F631" s="0" t="n">
        <v>-170.79</v>
      </c>
      <c r="G631" s="0" t="n">
        <v>43801.86</v>
      </c>
      <c r="H631" s="55">
        <f>E631-G631</f>
        <v/>
      </c>
      <c r="I631" s="34">
        <f>H631/1000</f>
        <v/>
      </c>
      <c r="J631" s="34">
        <f>AVERAGE(I630:I631)</f>
        <v/>
      </c>
    </row>
    <row r="632">
      <c r="A632" s="62" t="n">
        <v>46244</v>
      </c>
      <c r="B632" s="0" t="n">
        <v>44540.71</v>
      </c>
      <c r="C632" s="0" t="n">
        <v>45219.4</v>
      </c>
      <c r="D632" s="0" t="n">
        <v>44540.71</v>
      </c>
      <c r="E632" s="0" t="n">
        <v>44928.76</v>
      </c>
      <c r="F632" s="0" t="n">
        <v>702.85</v>
      </c>
      <c r="G632" s="0" t="n">
        <v>43801.86</v>
      </c>
      <c r="H632" s="55">
        <f>E632-G632</f>
        <v/>
      </c>
      <c r="I632" s="34">
        <f>H632/1000</f>
        <v/>
      </c>
      <c r="J632" s="34">
        <f>AVERAGE(I631:I632)</f>
        <v/>
      </c>
    </row>
    <row r="633">
      <c r="A633" s="62" t="n">
        <v>46245</v>
      </c>
      <c r="B633" s="0" t="n">
        <v>44883.9</v>
      </c>
      <c r="C633" s="0" t="n">
        <v>45195.41</v>
      </c>
      <c r="D633" s="0" t="n">
        <v>44652.06</v>
      </c>
      <c r="E633" s="0" t="n">
        <v>45120.72</v>
      </c>
      <c r="F633" s="0" t="n">
        <v>191.96</v>
      </c>
      <c r="G633" s="0" t="n">
        <v>43801.86</v>
      </c>
      <c r="H633" s="55">
        <f>E633-G633</f>
        <v/>
      </c>
      <c r="I633" s="34">
        <f>H633/1000</f>
        <v/>
      </c>
      <c r="J633" s="34">
        <f>AVERAGE(I632:I633)</f>
        <v/>
      </c>
    </row>
    <row r="634">
      <c r="A634" s="62" t="n">
        <v>46246</v>
      </c>
      <c r="B634" s="0" t="n">
        <v>45175.7</v>
      </c>
      <c r="C634" s="0" t="n">
        <v>45529.48</v>
      </c>
      <c r="D634" s="0" t="n">
        <v>45175.7</v>
      </c>
      <c r="E634" s="0" t="n">
        <v>45518.07</v>
      </c>
      <c r="F634" s="0" t="n">
        <v>397.35</v>
      </c>
      <c r="G634" s="0" t="n">
        <v>43801.86</v>
      </c>
      <c r="H634" s="55">
        <f>E634-G634</f>
        <v/>
      </c>
      <c r="I634" s="34">
        <f>H634/1000</f>
        <v/>
      </c>
      <c r="J634" s="34">
        <f>AVERAGE(I633:I634)</f>
        <v/>
      </c>
    </row>
    <row r="635">
      <c r="A635" s="62" t="n">
        <v>46247</v>
      </c>
      <c r="B635" s="0" t="n">
        <v>45676.54</v>
      </c>
      <c r="C635" s="0" t="n">
        <v>46216.41</v>
      </c>
      <c r="D635" s="0" t="n">
        <v>45676.54</v>
      </c>
      <c r="E635" s="0" t="n">
        <v>46021.48</v>
      </c>
      <c r="F635" s="0" t="n">
        <v>503.41</v>
      </c>
      <c r="G635" s="0" t="n">
        <v>43801.86</v>
      </c>
      <c r="H635" s="55">
        <f>E635-G635</f>
        <v/>
      </c>
      <c r="I635" s="34">
        <f>H635/1000</f>
        <v/>
      </c>
      <c r="J635" s="34">
        <f>AVERAGE(I634:I635)</f>
        <v/>
      </c>
    </row>
    <row r="636">
      <c r="A636" s="62" t="n">
        <v>46248</v>
      </c>
      <c r="B636" s="0" t="n">
        <v>46103.81</v>
      </c>
      <c r="C636" s="0" t="n">
        <v>46402.6</v>
      </c>
      <c r="D636" s="0" t="n">
        <v>45798.31</v>
      </c>
      <c r="E636" s="0" t="n">
        <v>45811.01</v>
      </c>
      <c r="F636" s="0" t="n">
        <v>-210.47</v>
      </c>
      <c r="G636" s="0" t="n">
        <v>43801.86</v>
      </c>
      <c r="H636" s="55">
        <f>E636-G636</f>
        <v/>
      </c>
      <c r="I636" s="34">
        <f>H636/1000</f>
        <v/>
      </c>
      <c r="J636" s="34">
        <f>AVERAGE(I635:I636)</f>
        <v/>
      </c>
    </row>
    <row r="637">
      <c r="A637" s="62" t="n">
        <v>46251</v>
      </c>
      <c r="B637" s="0" t="n">
        <v>45841.17</v>
      </c>
      <c r="C637" s="0" t="n">
        <v>46189.3</v>
      </c>
      <c r="D637" s="0" t="n">
        <v>45765.07</v>
      </c>
      <c r="E637" s="0" t="n">
        <v>45857.27</v>
      </c>
      <c r="F637" s="0" t="n">
        <v>46.26</v>
      </c>
      <c r="G637" s="0" t="n">
        <v>43801.86</v>
      </c>
      <c r="H637" s="55">
        <f>E637-G637</f>
        <v/>
      </c>
      <c r="I637" s="34">
        <f>H637/1000</f>
        <v/>
      </c>
      <c r="J637" s="34">
        <f>AVERAGE(I636:I637)</f>
        <v/>
      </c>
    </row>
    <row r="638">
      <c r="A638" s="62" t="n">
        <v>46252</v>
      </c>
      <c r="B638" s="0" t="n">
        <v>45922.4</v>
      </c>
      <c r="C638" s="0" t="n">
        <v>46064.09</v>
      </c>
      <c r="D638" s="0" t="n">
        <v>45225.42</v>
      </c>
      <c r="E638" s="0" t="n">
        <v>45308.68</v>
      </c>
      <c r="F638" s="0" t="n">
        <v>-548.59</v>
      </c>
      <c r="G638" s="0" t="n">
        <v>43801.86</v>
      </c>
      <c r="H638" s="55">
        <f>E638-G638</f>
        <v/>
      </c>
      <c r="I638" s="34">
        <f>H638/1000</f>
        <v/>
      </c>
      <c r="J638" s="34">
        <f>AVERAGE(I637:I638)</f>
        <v/>
      </c>
    </row>
    <row r="639">
      <c r="A639" s="62" t="n">
        <v>46253</v>
      </c>
      <c r="B639" s="0" t="n">
        <v>45071.34</v>
      </c>
      <c r="C639" s="0" t="n">
        <v>45071.34</v>
      </c>
      <c r="D639" s="0" t="n">
        <v>44308.71</v>
      </c>
      <c r="E639" s="0" t="n">
        <v>44719.35</v>
      </c>
      <c r="F639" s="0" t="n">
        <v>-589.33</v>
      </c>
      <c r="G639" s="0" t="n">
        <v>43801.86</v>
      </c>
      <c r="H639" s="55">
        <f>E639-G639</f>
        <v/>
      </c>
      <c r="I639" s="34">
        <f>H639/1000</f>
        <v/>
      </c>
      <c r="J639" s="34">
        <f>AVERAGE(I638:I639)</f>
        <v/>
      </c>
    </row>
    <row r="640">
      <c r="A640" s="62" t="n">
        <v>46254</v>
      </c>
      <c r="B640" s="0" t="n">
        <v>44942.01</v>
      </c>
      <c r="C640" s="0" t="n">
        <v>45160.05</v>
      </c>
      <c r="D640" s="0" t="n">
        <v>44446.36</v>
      </c>
      <c r="E640" s="0" t="n">
        <v>44933.74</v>
      </c>
      <c r="F640" s="0" t="n">
        <v>214.39</v>
      </c>
      <c r="G640" s="0" t="n">
        <v>43801.86</v>
      </c>
      <c r="H640" s="55">
        <f>E640-G640</f>
        <v/>
      </c>
      <c r="I640" s="34">
        <f>H640/1000</f>
        <v/>
      </c>
      <c r="J640" s="34">
        <f>AVERAGE(I639:I640)</f>
        <v/>
      </c>
    </row>
    <row r="641">
      <c r="A641" s="62" t="n">
        <v>46255</v>
      </c>
      <c r="B641" s="0" t="n">
        <v>44923.34</v>
      </c>
      <c r="C641" s="0" t="n">
        <v>45254.84</v>
      </c>
      <c r="D641" s="0" t="n">
        <v>44583.87</v>
      </c>
      <c r="E641" s="0" t="n">
        <v>45224.29</v>
      </c>
      <c r="F641" s="0" t="n">
        <v>290.55</v>
      </c>
      <c r="G641" s="0" t="n">
        <v>43801.86</v>
      </c>
      <c r="H641" s="55">
        <f>E641-G641</f>
        <v/>
      </c>
      <c r="I641" s="34">
        <f>H641/1000</f>
        <v/>
      </c>
      <c r="J641" s="34">
        <f>AVERAGE(I640:I641)</f>
        <v/>
      </c>
    </row>
    <row r="642">
      <c r="A642" s="62" t="n">
        <v>46258</v>
      </c>
      <c r="B642" s="0" t="n">
        <v>45240.3</v>
      </c>
      <c r="C642" s="0" t="n">
        <v>45362.3</v>
      </c>
      <c r="D642" s="0" t="n">
        <v>44761.88</v>
      </c>
      <c r="E642" s="0" t="n">
        <v>44762.32</v>
      </c>
      <c r="F642" s="0" t="n">
        <v>-461.97</v>
      </c>
      <c r="G642" s="0" t="n">
        <v>43801.86</v>
      </c>
      <c r="H642" s="55">
        <f>E642-G642</f>
        <v/>
      </c>
      <c r="I642" s="34">
        <f>H642/1000</f>
        <v/>
      </c>
      <c r="J642" s="34">
        <f>AVERAGE(I641:I642)</f>
        <v/>
      </c>
    </row>
    <row r="643">
      <c r="A643" s="62" t="n">
        <v>46259</v>
      </c>
      <c r="B643" s="0" t="n">
        <v>44728.36</v>
      </c>
      <c r="C643" s="0" t="n">
        <v>45169.46</v>
      </c>
      <c r="D643" s="0" t="n">
        <v>44210.31</v>
      </c>
      <c r="E643" s="0" t="n">
        <v>45169.46</v>
      </c>
      <c r="F643" s="0" t="n">
        <v>407.14</v>
      </c>
      <c r="G643" s="0" t="n">
        <v>43801.86</v>
      </c>
      <c r="H643" s="55">
        <f>E643-G643</f>
        <v/>
      </c>
      <c r="I643" s="34">
        <f>H643/1000</f>
        <v/>
      </c>
      <c r="J643" s="34">
        <f>AVERAGE(I642:I643)</f>
        <v/>
      </c>
    </row>
    <row r="644">
      <c r="A644" s="62" t="n">
        <v>46260</v>
      </c>
      <c r="B644" s="0" t="n">
        <v>45157.64</v>
      </c>
      <c r="C644" s="0" t="n">
        <v>45878.39</v>
      </c>
      <c r="D644" s="0" t="n">
        <v>44925.84</v>
      </c>
      <c r="E644" s="0" t="n">
        <v>45832.62</v>
      </c>
      <c r="F644" s="0" t="n">
        <v>663.16</v>
      </c>
      <c r="G644" s="0" t="n">
        <v>43801.86</v>
      </c>
      <c r="H644" s="55">
        <f>E644-G644</f>
        <v/>
      </c>
      <c r="I644" s="34">
        <f>H644/1000</f>
        <v/>
      </c>
      <c r="J644" s="34">
        <f>AVERAGE(I643:I644)</f>
        <v/>
      </c>
    </row>
    <row r="645">
      <c r="A645" s="62" t="n">
        <v>46261</v>
      </c>
      <c r="B645" s="0" t="n">
        <v>45890.18</v>
      </c>
      <c r="C645" s="0" t="n">
        <v>46401.78</v>
      </c>
      <c r="D645" s="0" t="n">
        <v>45890.18</v>
      </c>
      <c r="E645" s="0" t="n">
        <v>45975.22</v>
      </c>
      <c r="F645" s="0" t="n">
        <v>142.6</v>
      </c>
      <c r="G645" s="0" t="n">
        <v>43801.86</v>
      </c>
      <c r="H645" s="55">
        <f>E645-G645</f>
        <v/>
      </c>
      <c r="I645" s="34">
        <f>H645/1000</f>
        <v/>
      </c>
      <c r="J645" s="34">
        <f>AVERAGE(I644:I645)</f>
        <v/>
      </c>
    </row>
    <row r="646">
      <c r="A646" s="62" t="n">
        <v>46262</v>
      </c>
      <c r="B646" s="0" t="n">
        <v>46070.83</v>
      </c>
      <c r="C646" s="0" t="n">
        <v>46574.52</v>
      </c>
      <c r="D646" s="0" t="n">
        <v>46070.83</v>
      </c>
      <c r="E646" s="0" t="n">
        <v>46331.45</v>
      </c>
      <c r="F646" s="0" t="n">
        <v>356.23</v>
      </c>
      <c r="G646" s="0" t="n">
        <v>43801.86</v>
      </c>
      <c r="H646" s="55">
        <f>E646-G646</f>
        <v/>
      </c>
      <c r="I646" s="34">
        <f>H646/1000</f>
        <v/>
      </c>
      <c r="J646" s="34">
        <f>AVERAGE(I645:I646)</f>
        <v/>
      </c>
    </row>
    <row r="647">
      <c r="A647" s="62" t="n">
        <v>46265</v>
      </c>
      <c r="B647" s="0" t="n">
        <v>46224.69</v>
      </c>
      <c r="C647" s="0" t="n">
        <v>46224.69</v>
      </c>
      <c r="D647" s="0" t="n">
        <v>45450.21</v>
      </c>
      <c r="E647" s="0" t="n">
        <v>46128.47</v>
      </c>
      <c r="F647" s="0" t="n">
        <v>-202.98</v>
      </c>
      <c r="G647" s="0" t="n">
        <v>43801.86</v>
      </c>
      <c r="H647" s="55">
        <f>E647-G647</f>
        <v/>
      </c>
      <c r="I647" s="34">
        <f>H647/1000</f>
        <v/>
      </c>
      <c r="J647" s="34">
        <f>AVERAGE(I646:I647)</f>
        <v/>
      </c>
    </row>
    <row r="648">
      <c r="A648" s="62" t="n">
        <v>46266</v>
      </c>
      <c r="B648" s="0" t="n">
        <v>46177.11</v>
      </c>
      <c r="C648" s="0" t="n">
        <v>46948.72</v>
      </c>
      <c r="D648" s="0" t="n">
        <v>46081.11</v>
      </c>
      <c r="E648" s="0" t="n">
        <v>46948.72</v>
      </c>
      <c r="F648" s="0" t="n">
        <v>820.25</v>
      </c>
      <c r="G648" s="0" t="n">
        <v>43390.075</v>
      </c>
      <c r="H648" s="55">
        <f>E648-G648</f>
        <v/>
      </c>
      <c r="I648" s="34">
        <f>H648/1000</f>
        <v/>
      </c>
      <c r="J648" s="34">
        <f>AVERAGE(I647:I648)</f>
        <v/>
      </c>
    </row>
    <row r="649">
      <c r="A649" s="62" t="n">
        <v>46267</v>
      </c>
      <c r="B649" s="0" t="n">
        <v>46901.32</v>
      </c>
      <c r="C649" s="0" t="n">
        <v>46946.6</v>
      </c>
      <c r="D649" s="0" t="n">
        <v>46164.72</v>
      </c>
      <c r="E649" s="0" t="n">
        <v>46164.72</v>
      </c>
      <c r="F649" s="0" t="n">
        <v>-784</v>
      </c>
      <c r="G649" s="0" t="n">
        <v>43390.075</v>
      </c>
      <c r="H649" s="55">
        <f>E649-G649</f>
        <v/>
      </c>
      <c r="I649" s="34">
        <f>H649/1000</f>
        <v/>
      </c>
      <c r="J649" s="34">
        <f>AVERAGE(I648:I649)</f>
        <v/>
      </c>
    </row>
    <row r="650">
      <c r="A650" s="62" t="n">
        <v>46268</v>
      </c>
      <c r="B650" s="0" t="n">
        <v>46325.48</v>
      </c>
      <c r="C650" s="0" t="n">
        <v>46517.45</v>
      </c>
      <c r="D650" s="0" t="n">
        <v>45839.36</v>
      </c>
      <c r="E650" s="0" t="n">
        <v>45857.66</v>
      </c>
      <c r="F650" s="0" t="n">
        <v>-307.06</v>
      </c>
      <c r="G650" s="0" t="n">
        <v>43390.075</v>
      </c>
      <c r="H650" s="55">
        <f>E650-G650</f>
        <v/>
      </c>
      <c r="I650" s="34">
        <f>H650/1000</f>
        <v/>
      </c>
      <c r="J650" s="34">
        <f>AVERAGE(I649:I650)</f>
        <v/>
      </c>
    </row>
    <row r="651">
      <c r="A651" s="62" t="n">
        <v>46269</v>
      </c>
      <c r="B651" s="0" t="n">
        <v>45991.28</v>
      </c>
      <c r="C651" s="0" t="n">
        <v>46620.96</v>
      </c>
      <c r="D651" s="0" t="n">
        <v>45966.86</v>
      </c>
      <c r="E651" s="0" t="n">
        <v>46551.13</v>
      </c>
      <c r="F651" s="0" t="n">
        <v>693.47</v>
      </c>
      <c r="G651" s="0" t="n">
        <v>43390.075</v>
      </c>
      <c r="H651" s="55">
        <f>E651-G651</f>
        <v/>
      </c>
      <c r="I651" s="34">
        <f>H651/1000</f>
        <v/>
      </c>
      <c r="J651" s="34">
        <f>AVERAGE(I650:I651)</f>
        <v/>
      </c>
    </row>
    <row r="652">
      <c r="A652" s="62" t="n">
        <v>46272</v>
      </c>
      <c r="B652" s="0" t="n">
        <v>46724</v>
      </c>
      <c r="C652" s="0" t="n">
        <v>47429.58</v>
      </c>
      <c r="D652" s="0" t="n">
        <v>46724</v>
      </c>
      <c r="E652" s="0" t="n">
        <v>47326.27</v>
      </c>
      <c r="F652" s="0" t="n">
        <v>775.14</v>
      </c>
      <c r="G652" s="0" t="n">
        <v>43390.075</v>
      </c>
      <c r="H652" s="55">
        <f>E652-G652</f>
        <v/>
      </c>
      <c r="I652" s="34">
        <f>H652/1000</f>
        <v/>
      </c>
      <c r="J652" s="34">
        <f>AVERAGE(I651:I652)</f>
        <v/>
      </c>
    </row>
    <row r="653">
      <c r="A653" s="62" t="n">
        <v>46273</v>
      </c>
      <c r="B653" s="0" t="n">
        <v>47335.24</v>
      </c>
      <c r="C653" s="0" t="n">
        <v>47578.24</v>
      </c>
      <c r="D653" s="0" t="n">
        <v>47023.73</v>
      </c>
      <c r="E653" s="0" t="n">
        <v>47105.78</v>
      </c>
      <c r="F653" s="0" t="n">
        <v>-220.49</v>
      </c>
      <c r="G653" s="0" t="n">
        <v>43390.075</v>
      </c>
      <c r="H653" s="55">
        <f>E653-G653</f>
        <v/>
      </c>
      <c r="I653" s="34">
        <f>H653/1000</f>
        <v/>
      </c>
      <c r="J653" s="34">
        <f>AVERAGE(I652:I653)</f>
        <v/>
      </c>
    </row>
    <row r="654">
      <c r="A654" s="62" t="n">
        <v>46274</v>
      </c>
      <c r="B654" s="0" t="n">
        <v>47142.74</v>
      </c>
      <c r="C654" s="0" t="n">
        <v>47548.26</v>
      </c>
      <c r="D654" s="0" t="n">
        <v>47060.78</v>
      </c>
      <c r="E654" s="0" t="n">
        <v>47183.36</v>
      </c>
      <c r="F654" s="0" t="n">
        <v>77.58</v>
      </c>
      <c r="G654" s="0" t="n">
        <v>43390.075</v>
      </c>
      <c r="H654" s="55">
        <f>E654-G654</f>
        <v/>
      </c>
      <c r="I654" s="34">
        <f>H654/1000</f>
        <v/>
      </c>
      <c r="J654" s="34">
        <f>AVERAGE(I653:I654)</f>
        <v/>
      </c>
    </row>
    <row r="655">
      <c r="A655" s="62" t="n">
        <v>46275</v>
      </c>
      <c r="B655" s="0" t="n">
        <v>47130.96</v>
      </c>
      <c r="C655" s="0" t="n">
        <v>47130.96</v>
      </c>
      <c r="D655" s="0" t="n">
        <v>46573.47</v>
      </c>
      <c r="E655" s="0" t="n">
        <v>46940.49</v>
      </c>
      <c r="F655" s="0" t="n">
        <v>-242.87</v>
      </c>
      <c r="G655" s="0" t="n">
        <v>43390.075</v>
      </c>
      <c r="H655" s="55">
        <f>E655-G655</f>
        <v/>
      </c>
      <c r="I655" s="34">
        <f>H655/1000</f>
        <v/>
      </c>
      <c r="J655" s="34">
        <f>AVERAGE(I654:I655)</f>
        <v/>
      </c>
    </row>
    <row r="656">
      <c r="A656" s="62" t="n">
        <v>46276</v>
      </c>
      <c r="B656" s="0" t="n">
        <v>46651.21</v>
      </c>
      <c r="C656" s="0" t="n">
        <v>46651.21</v>
      </c>
      <c r="D656" s="0" t="n">
        <v>45942.44</v>
      </c>
      <c r="E656" s="0" t="n">
        <v>46184.85</v>
      </c>
      <c r="F656" s="0" t="n">
        <v>-755.64</v>
      </c>
      <c r="G656" s="0" t="n">
        <v>43390.075</v>
      </c>
      <c r="H656" s="55">
        <f>E656-G656</f>
        <v/>
      </c>
      <c r="I656" s="34">
        <f>H656/1000</f>
        <v/>
      </c>
      <c r="J656" s="34">
        <f>AVERAGE(I655:I656)</f>
        <v/>
      </c>
    </row>
    <row r="657">
      <c r="A657" s="62" t="n">
        <v>46279</v>
      </c>
      <c r="B657" s="0" t="n">
        <v>46010.74</v>
      </c>
      <c r="C657" s="0" t="n">
        <v>46050.24</v>
      </c>
      <c r="D657" s="0" t="n">
        <v>45398.43</v>
      </c>
      <c r="E657" s="0" t="n">
        <v>45862.52</v>
      </c>
      <c r="F657" s="0" t="n">
        <v>-322.33</v>
      </c>
      <c r="G657" s="0" t="n">
        <v>43390.075</v>
      </c>
      <c r="H657" s="55">
        <f>E657-G657</f>
        <v/>
      </c>
      <c r="I657" s="34">
        <f>H657/1000</f>
        <v/>
      </c>
      <c r="J657" s="34">
        <f>AVERAGE(I656:I657)</f>
        <v/>
      </c>
    </row>
    <row r="658">
      <c r="A658" s="62" t="n">
        <v>46280</v>
      </c>
      <c r="B658" s="0" t="n">
        <v>45847.27</v>
      </c>
      <c r="C658" s="0" t="n">
        <v>46009.85</v>
      </c>
      <c r="D658" s="0" t="n">
        <v>45491.97</v>
      </c>
      <c r="E658" s="0" t="n">
        <v>45511.49</v>
      </c>
      <c r="F658" s="0" t="n">
        <v>-351.03</v>
      </c>
      <c r="G658" s="0" t="n">
        <v>43390.075</v>
      </c>
      <c r="H658" s="55">
        <f>E658-G658</f>
        <v/>
      </c>
      <c r="I658" s="34">
        <f>H658/1000</f>
        <v/>
      </c>
      <c r="J658" s="34">
        <f>AVERAGE(I657:I658)</f>
        <v/>
      </c>
    </row>
    <row r="659">
      <c r="A659" s="62" t="n">
        <v>46281</v>
      </c>
      <c r="B659" s="0" t="n">
        <v>45546.56</v>
      </c>
      <c r="C659" s="0" t="n">
        <v>46077.82</v>
      </c>
      <c r="D659" s="0" t="n">
        <v>45546.56</v>
      </c>
      <c r="E659" s="0" t="n">
        <v>45848.9</v>
      </c>
      <c r="F659" s="0" t="n">
        <v>337.41</v>
      </c>
      <c r="G659" s="0" t="n">
        <v>43390.075</v>
      </c>
      <c r="H659" s="55">
        <f>E659-G659</f>
        <v/>
      </c>
      <c r="I659" s="34">
        <f>H659/1000</f>
        <v/>
      </c>
      <c r="J659" s="34">
        <f>AVERAGE(I658:I659)</f>
        <v/>
      </c>
    </row>
    <row r="660">
      <c r="A660" s="62" t="n">
        <v>46282</v>
      </c>
      <c r="B660" s="0" t="n">
        <v>45936.11</v>
      </c>
      <c r="C660" s="0" t="n">
        <v>46874.84</v>
      </c>
      <c r="D660" s="0" t="n">
        <v>45936.11</v>
      </c>
      <c r="E660" s="0" t="n">
        <v>46288</v>
      </c>
      <c r="F660" s="0" t="n">
        <v>439.1</v>
      </c>
      <c r="G660" s="0" t="n">
        <v>43390.075</v>
      </c>
      <c r="H660" s="55">
        <f>E660-G660</f>
        <v/>
      </c>
      <c r="I660" s="34">
        <f>H660/1000</f>
        <v/>
      </c>
      <c r="J660" s="34">
        <f>AVERAGE(I659:I660)</f>
        <v/>
      </c>
    </row>
    <row r="661">
      <c r="A661" s="62" t="n">
        <v>46283</v>
      </c>
      <c r="B661" s="0" t="n">
        <v>46449.56</v>
      </c>
      <c r="C661" s="0" t="n">
        <v>47180.75</v>
      </c>
      <c r="D661" s="0" t="n">
        <v>46449.56</v>
      </c>
      <c r="E661" s="0" t="n">
        <v>47180.75</v>
      </c>
      <c r="F661" s="0" t="n">
        <v>892.75</v>
      </c>
      <c r="G661" s="0" t="n">
        <v>43390.075</v>
      </c>
      <c r="H661" s="55">
        <f>E661-G661</f>
        <v/>
      </c>
      <c r="I661" s="34">
        <f>H661/1000</f>
        <v/>
      </c>
      <c r="J661" s="34">
        <f>AVERAGE(I660:I661)</f>
        <v/>
      </c>
    </row>
    <row r="662">
      <c r="A662" s="62" t="n">
        <v>46286</v>
      </c>
      <c r="B662" s="0" t="n">
        <v>47207.3</v>
      </c>
      <c r="C662" s="0" t="n">
        <v>47750.98</v>
      </c>
      <c r="D662" s="0" t="n">
        <v>47207.3</v>
      </c>
      <c r="E662" s="0" t="n">
        <v>47718.84</v>
      </c>
      <c r="F662" s="0" t="n">
        <v>538.09</v>
      </c>
      <c r="G662" s="0" t="n">
        <v>43390.075</v>
      </c>
      <c r="H662" s="55">
        <f>E662-G662</f>
        <v/>
      </c>
      <c r="I662" s="34">
        <f>H662/1000</f>
        <v/>
      </c>
      <c r="J662" s="34">
        <f>AVERAGE(I661:I662)</f>
        <v/>
      </c>
    </row>
    <row r="663">
      <c r="A663" s="62" t="n">
        <v>46287</v>
      </c>
      <c r="B663" s="0" t="n">
        <v>47981.04</v>
      </c>
      <c r="C663" s="0" t="n">
        <v>48601.53</v>
      </c>
      <c r="D663" s="0" t="n">
        <v>47800.17</v>
      </c>
      <c r="E663" s="0" t="n">
        <v>47800.17</v>
      </c>
      <c r="F663" s="0" t="n">
        <v>81.33</v>
      </c>
      <c r="G663" s="0" t="n">
        <v>43390.075</v>
      </c>
      <c r="H663" s="55">
        <f>E663-G663</f>
        <v/>
      </c>
      <c r="I663" s="34">
        <f>H663/1000</f>
        <v/>
      </c>
      <c r="J663" s="34">
        <f>AVERAGE(I662:I663)</f>
        <v/>
      </c>
    </row>
    <row r="664">
      <c r="A664" s="62" t="n">
        <v>46288</v>
      </c>
      <c r="B664" s="0" t="n">
        <v>47894.77</v>
      </c>
      <c r="C664" s="0" t="n">
        <v>48341.56</v>
      </c>
      <c r="D664" s="0" t="n">
        <v>47894.77</v>
      </c>
      <c r="E664" s="0" t="n">
        <v>48157.29</v>
      </c>
      <c r="F664" s="0" t="n">
        <v>357.12</v>
      </c>
      <c r="G664" s="0" t="n">
        <v>43390.075</v>
      </c>
      <c r="H664" s="55">
        <f>E664-G664</f>
        <v/>
      </c>
      <c r="I664" s="34">
        <f>H664/1000</f>
        <v/>
      </c>
      <c r="J664" s="34">
        <f>AVERAGE(I663:I664)</f>
        <v/>
      </c>
    </row>
    <row r="665">
      <c r="A665" s="62" t="n">
        <v>46289</v>
      </c>
      <c r="B665" s="0" t="n">
        <v>48075.39</v>
      </c>
      <c r="C665" s="0" t="n">
        <v>48117.54</v>
      </c>
      <c r="D665" s="0" t="n">
        <v>47754.72</v>
      </c>
      <c r="E665" s="0" t="n">
        <v>48024.6</v>
      </c>
      <c r="F665" s="0" t="n">
        <v>-132.69</v>
      </c>
      <c r="G665" s="0" t="n">
        <v>43390.075</v>
      </c>
      <c r="H665" s="55">
        <f>E665-G665</f>
        <v/>
      </c>
      <c r="I665" s="34">
        <f>H665/1000</f>
        <v/>
      </c>
      <c r="J665" s="34">
        <f>AVERAGE(I664:I665)</f>
        <v/>
      </c>
    </row>
    <row r="666">
      <c r="A666" s="62" t="n">
        <v>46294</v>
      </c>
      <c r="B666" s="0" t="n">
        <v>47873.89</v>
      </c>
      <c r="C666" s="0" t="n">
        <v>48045.13</v>
      </c>
      <c r="D666" s="0" t="n">
        <v>47573.09</v>
      </c>
      <c r="E666" s="0" t="n">
        <v>47631.96</v>
      </c>
      <c r="F666" s="0" t="n">
        <v>-392.64</v>
      </c>
      <c r="G666" s="0" t="n">
        <v>43390.075</v>
      </c>
      <c r="H666" s="55">
        <f>E666-G666</f>
        <v/>
      </c>
      <c r="I666" s="34">
        <f>H666/1000</f>
        <v/>
      </c>
      <c r="J666" s="34">
        <f>AVERAGE(I665:I666)</f>
        <v/>
      </c>
    </row>
    <row r="667">
      <c r="A667" s="62" t="n">
        <v>46295</v>
      </c>
      <c r="B667" s="0" t="n">
        <v>47767.49</v>
      </c>
      <c r="C667" s="0" t="n">
        <v>48379.71</v>
      </c>
      <c r="D667" s="0" t="n">
        <v>47767.49</v>
      </c>
      <c r="E667" s="0" t="n">
        <v>47940.13</v>
      </c>
      <c r="F667" s="0" t="n">
        <v>308.17</v>
      </c>
      <c r="G667" s="0" t="n">
        <v>43390.075</v>
      </c>
      <c r="H667" s="55">
        <f>E667-G667</f>
        <v/>
      </c>
      <c r="I667" s="34">
        <f>H667/1000</f>
        <v/>
      </c>
      <c r="J667" s="34">
        <f>AVERAGE(I666:I667)</f>
        <v/>
      </c>
    </row>
    <row r="668">
      <c r="A668" s="62" t="n">
        <v>46296</v>
      </c>
      <c r="B668" s="0" t="n">
        <v>47961.98</v>
      </c>
      <c r="C668" s="0" t="n">
        <v>48353.49</v>
      </c>
      <c r="D668" s="0" t="n">
        <v>47893.42</v>
      </c>
      <c r="E668" s="0" t="n">
        <v>48353.49</v>
      </c>
      <c r="F668" s="0" t="n">
        <v>413.36</v>
      </c>
      <c r="G668" s="0" t="n">
        <v>45690.975</v>
      </c>
      <c r="H668" s="55">
        <f>E668-G668</f>
        <v/>
      </c>
      <c r="I668" s="34">
        <f>H668/1000</f>
        <v/>
      </c>
      <c r="J668" s="34">
        <f>AVERAGE(I667:I668)</f>
        <v/>
      </c>
    </row>
    <row r="669">
      <c r="A669" s="62" t="n">
        <v>46297</v>
      </c>
      <c r="B669" s="0" t="n">
        <v>48390.65</v>
      </c>
      <c r="C669" s="0" t="n">
        <v>48491.62</v>
      </c>
      <c r="D669" s="0" t="n">
        <v>48205.81</v>
      </c>
      <c r="E669" s="0" t="n">
        <v>48475.74</v>
      </c>
      <c r="F669" s="0" t="n">
        <v>122.25</v>
      </c>
      <c r="G669" s="0" t="n">
        <v>45690.975</v>
      </c>
      <c r="H669" s="55">
        <f>E669-G669</f>
        <v/>
      </c>
      <c r="I669" s="34">
        <f>H669/1000</f>
        <v/>
      </c>
      <c r="J669" s="34">
        <f>AVERAGE(I668:I669)</f>
        <v/>
      </c>
    </row>
    <row r="670">
      <c r="A670" s="62" t="n">
        <v>46300</v>
      </c>
      <c r="B670" s="0" t="n">
        <v>48574.95</v>
      </c>
      <c r="C670" s="0" t="n">
        <v>49770.66</v>
      </c>
      <c r="D670" s="0" t="n">
        <v>48574.95</v>
      </c>
      <c r="E670" s="0" t="n">
        <v>49712.04</v>
      </c>
      <c r="F670" s="0" t="n">
        <v>1236.3</v>
      </c>
      <c r="G670" s="0" t="n">
        <v>45690.975</v>
      </c>
      <c r="H670" s="55">
        <f>E670-G670</f>
        <v/>
      </c>
      <c r="I670" s="34">
        <f>H670/1000</f>
        <v/>
      </c>
      <c r="J670" s="34">
        <f>AVERAGE(I669:I670)</f>
        <v/>
      </c>
    </row>
    <row r="671">
      <c r="A671" s="62" t="n">
        <v>46301</v>
      </c>
      <c r="B671" s="0" t="n">
        <v>49736.37</v>
      </c>
      <c r="C671" s="0" t="n">
        <v>49968.92</v>
      </c>
      <c r="D671" s="0" t="n">
        <v>49479.69</v>
      </c>
      <c r="E671" s="0" t="n">
        <v>49822.55</v>
      </c>
      <c r="F671" s="0" t="n">
        <v>110.51</v>
      </c>
      <c r="G671" s="0" t="n">
        <v>45690.975</v>
      </c>
      <c r="H671" s="55">
        <f>E671-G671</f>
        <v/>
      </c>
      <c r="I671" s="34">
        <f>H671/1000</f>
        <v/>
      </c>
      <c r="J671" s="34">
        <f>AVERAGE(I670:I671)</f>
        <v/>
      </c>
    </row>
    <row r="672">
      <c r="A672" s="62" t="n">
        <v>46302</v>
      </c>
      <c r="B672" s="0" t="n">
        <v>49857.32</v>
      </c>
      <c r="C672" s="0" t="n">
        <v>49966.89</v>
      </c>
      <c r="D672" s="0" t="n">
        <v>49567.52</v>
      </c>
      <c r="E672" s="0" t="n">
        <v>49806.37</v>
      </c>
      <c r="F672" s="0" t="n">
        <v>-16.18</v>
      </c>
      <c r="G672" s="0" t="n">
        <v>45690.975</v>
      </c>
      <c r="H672" s="55">
        <f>E672-G672</f>
        <v/>
      </c>
      <c r="I672" s="34">
        <f>H672/1000</f>
        <v/>
      </c>
      <c r="J672" s="34">
        <f>AVERAGE(I671:I672)</f>
        <v/>
      </c>
    </row>
    <row r="673">
      <c r="A673" s="62" t="n">
        <v>46303</v>
      </c>
      <c r="B673" s="0" t="n">
        <v>49783.06</v>
      </c>
      <c r="C673" s="0" t="n">
        <v>49783.06</v>
      </c>
      <c r="D673" s="0" t="n">
        <v>49189.77</v>
      </c>
      <c r="E673" s="0" t="n">
        <v>49313.44</v>
      </c>
      <c r="F673" s="0" t="n">
        <v>-492.93</v>
      </c>
      <c r="G673" s="0" t="n">
        <v>45690.975</v>
      </c>
      <c r="H673" s="55">
        <f>E673-G673</f>
        <v/>
      </c>
      <c r="I673" s="34">
        <f>H673/1000</f>
        <v/>
      </c>
      <c r="J673" s="34">
        <f>AVERAGE(I672:I673)</f>
        <v/>
      </c>
    </row>
    <row r="674">
      <c r="A674" s="62" t="n">
        <v>46307</v>
      </c>
      <c r="B674" t="n">
        <v>49272.08</v>
      </c>
      <c r="C674" t="n">
        <v>49412.9</v>
      </c>
      <c r="D674" t="n">
        <v>48768.82</v>
      </c>
      <c r="E674" t="n">
        <v>49301.96</v>
      </c>
      <c r="F674" t="n">
        <v>-11.48</v>
      </c>
      <c r="G674" t="n">
        <v>45690.975</v>
      </c>
      <c r="H674" s="55">
        <f>E674-G674</f>
        <v/>
      </c>
      <c r="I674" s="34">
        <f>H674/1000</f>
        <v/>
      </c>
      <c r="J674" s="34">
        <f>AVERAGE(I673:I674)</f>
        <v/>
      </c>
    </row>
  </sheetData>
  <autoFilter ref="A1:F1"/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8" defaultColWidth="8.5" defaultRowHeight="16.5"/>
  <sheetData/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WIN11</dc:creator>
  <dc:language xmlns:dc="http://purl.org/dc/elements/1.1/">en-US</dc:language>
  <dcterms:created xmlns:dcterms="http://purl.org/dc/terms/" xmlns:xsi="http://www.w3.org/2001/XMLSchema-instance" xsi:type="dcterms:W3CDTF">2026-05-14T10:39:15Z</dcterms:created>
  <dcterms:modified xmlns:dcterms="http://purl.org/dc/terms/" xmlns:xsi="http://www.w3.org/2001/XMLSchema-instance" xsi:type="dcterms:W3CDTF">2026-10-12T15:56:32Z</dcterms:modified>
  <cp:lastModifiedBy>WIN11</cp:lastModifiedBy>
  <cp:revision>0</cp:revision>
</cp:coreProperties>
</file>